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Data Analytics\"/>
    </mc:Choice>
  </mc:AlternateContent>
  <xr:revisionPtr revIDLastSave="0" documentId="13_ncr:1_{B23D0503-884B-4BF2-A360-5872C72EE3F0}" xr6:coauthVersionLast="47" xr6:coauthVersionMax="47" xr10:uidLastSave="{00000000-0000-0000-0000-000000000000}"/>
  <bookViews>
    <workbookView xWindow="-98" yWindow="-98" windowWidth="21795" windowHeight="12975" activeTab="1" xr2:uid="{6D042F00-A5EC-4A9F-8B5F-53A194D73851}"/>
  </bookViews>
  <sheets>
    <sheet name="PivotTables" sheetId="5" r:id="rId1"/>
    <sheet name="Dashboard" sheetId="8" r:id="rId2"/>
    <sheet name="StudentData" sheetId="1" r:id="rId3"/>
  </sheets>
  <definedNames>
    <definedName name="Slicer_Department">#N/A</definedName>
    <definedName name="Slicer_Month">#N/A</definedName>
    <definedName name="Slicer_Subject">#N/A</definedName>
  </definedNames>
  <calcPr calcId="191029"/>
  <pivotCaches>
    <pivotCache cacheId="7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<sst xmlns="http://schemas.openxmlformats.org/spreadsheetml/2006/main" count="1060" uniqueCount="424">
  <si>
    <t>Student ID</t>
  </si>
  <si>
    <t>Name</t>
  </si>
  <si>
    <t>Department</t>
  </si>
  <si>
    <t>Subject</t>
  </si>
  <si>
    <t>Attendance %</t>
  </si>
  <si>
    <t>Assignment Score</t>
  </si>
  <si>
    <t>Exam Score</t>
  </si>
  <si>
    <t>Study Hours</t>
  </si>
  <si>
    <t>Month</t>
  </si>
  <si>
    <t>S101</t>
  </si>
  <si>
    <t>Rahul</t>
  </si>
  <si>
    <t>IT</t>
  </si>
  <si>
    <t>Python</t>
  </si>
  <si>
    <t>Jan</t>
  </si>
  <si>
    <t>S102</t>
  </si>
  <si>
    <t>Priya</t>
  </si>
  <si>
    <t>CS</t>
  </si>
  <si>
    <t>SQL</t>
  </si>
  <si>
    <t>S103</t>
  </si>
  <si>
    <t>Aman</t>
  </si>
  <si>
    <t>AI</t>
  </si>
  <si>
    <t>S104</t>
  </si>
  <si>
    <t>Neha</t>
  </si>
  <si>
    <t>Java</t>
  </si>
  <si>
    <t>S105</t>
  </si>
  <si>
    <t>Arjun</t>
  </si>
  <si>
    <t>DBMS</t>
  </si>
  <si>
    <t>S106</t>
  </si>
  <si>
    <t>Simran</t>
  </si>
  <si>
    <t>S107</t>
  </si>
  <si>
    <t>Karan</t>
  </si>
  <si>
    <t>S108</t>
  </si>
  <si>
    <t>Anjali</t>
  </si>
  <si>
    <t>S109</t>
  </si>
  <si>
    <t>Vikram</t>
  </si>
  <si>
    <t>S110</t>
  </si>
  <si>
    <t>Pooja</t>
  </si>
  <si>
    <t>S111</t>
  </si>
  <si>
    <t>Rohit</t>
  </si>
  <si>
    <t>Feb</t>
  </si>
  <si>
    <t>S112</t>
  </si>
  <si>
    <t>Sneha</t>
  </si>
  <si>
    <t>S113</t>
  </si>
  <si>
    <t>Aditya</t>
  </si>
  <si>
    <t>S114</t>
  </si>
  <si>
    <t>Meera</t>
  </si>
  <si>
    <t>S115</t>
  </si>
  <si>
    <t>Yash</t>
  </si>
  <si>
    <t>S116</t>
  </si>
  <si>
    <t>Kavya</t>
  </si>
  <si>
    <t>S117</t>
  </si>
  <si>
    <t>Dev</t>
  </si>
  <si>
    <t>S118</t>
  </si>
  <si>
    <t>Riya</t>
  </si>
  <si>
    <t>S119</t>
  </si>
  <si>
    <t>Harsh</t>
  </si>
  <si>
    <t>S120</t>
  </si>
  <si>
    <t>Nisha</t>
  </si>
  <si>
    <t>S121</t>
  </si>
  <si>
    <t>Aryan</t>
  </si>
  <si>
    <t>Mar</t>
  </si>
  <si>
    <t>S122</t>
  </si>
  <si>
    <t>Isha</t>
  </si>
  <si>
    <t>S123</t>
  </si>
  <si>
    <t>Manav</t>
  </si>
  <si>
    <t>S124</t>
  </si>
  <si>
    <t>Tanvi</t>
  </si>
  <si>
    <t>S125</t>
  </si>
  <si>
    <t>Rajat</t>
  </si>
  <si>
    <t>S126</t>
  </si>
  <si>
    <t>Diya</t>
  </si>
  <si>
    <t>S127</t>
  </si>
  <si>
    <t>Sahil</t>
  </si>
  <si>
    <t>S128</t>
  </si>
  <si>
    <t>Aisha</t>
  </si>
  <si>
    <t>S129</t>
  </si>
  <si>
    <t>Nikhil</t>
  </si>
  <si>
    <t>S130</t>
  </si>
  <si>
    <t>Palak</t>
  </si>
  <si>
    <t>S131</t>
  </si>
  <si>
    <t>Varun</t>
  </si>
  <si>
    <t>Apr</t>
  </si>
  <si>
    <t>S132</t>
  </si>
  <si>
    <t>Krisha</t>
  </si>
  <si>
    <t>S133</t>
  </si>
  <si>
    <t>Ramesh</t>
  </si>
  <si>
    <t>S134</t>
  </si>
  <si>
    <t>Shreya</t>
  </si>
  <si>
    <t>S135</t>
  </si>
  <si>
    <t>Akash</t>
  </si>
  <si>
    <t>S136</t>
  </si>
  <si>
    <t>Muskan</t>
  </si>
  <si>
    <t>S137</t>
  </si>
  <si>
    <t>Tarun</t>
  </si>
  <si>
    <t>S138</t>
  </si>
  <si>
    <t>Ananya</t>
  </si>
  <si>
    <t>S139</t>
  </si>
  <si>
    <t>Deepak</t>
  </si>
  <si>
    <t>S140</t>
  </si>
  <si>
    <t>Sana</t>
  </si>
  <si>
    <t>S141</t>
  </si>
  <si>
    <t>Rohan</t>
  </si>
  <si>
    <t>S142</t>
  </si>
  <si>
    <t>Kiara</t>
  </si>
  <si>
    <t>S143</t>
  </si>
  <si>
    <t>Ayush</t>
  </si>
  <si>
    <t>S144</t>
  </si>
  <si>
    <t>Zoya</t>
  </si>
  <si>
    <t>S145</t>
  </si>
  <si>
    <t>Ved</t>
  </si>
  <si>
    <t>S146</t>
  </si>
  <si>
    <t>Mitali</t>
  </si>
  <si>
    <t>S147</t>
  </si>
  <si>
    <t>Ritesh</t>
  </si>
  <si>
    <t>S148</t>
  </si>
  <si>
    <t>Navya</t>
  </si>
  <si>
    <t>S149</t>
  </si>
  <si>
    <t>Kunal</t>
  </si>
  <si>
    <t>S150</t>
  </si>
  <si>
    <t>Reema</t>
  </si>
  <si>
    <t>S151</t>
  </si>
  <si>
    <t>Aarav</t>
  </si>
  <si>
    <t>May</t>
  </si>
  <si>
    <t>S152</t>
  </si>
  <si>
    <t>Siya</t>
  </si>
  <si>
    <t>S153</t>
  </si>
  <si>
    <t>Parth</t>
  </si>
  <si>
    <t>S154</t>
  </si>
  <si>
    <t>Riddhi</t>
  </si>
  <si>
    <t>S155</t>
  </si>
  <si>
    <t>Tushar</t>
  </si>
  <si>
    <t>S156</t>
  </si>
  <si>
    <t>Ira</t>
  </si>
  <si>
    <t>S157</t>
  </si>
  <si>
    <t>Viraj</t>
  </si>
  <si>
    <t>S158</t>
  </si>
  <si>
    <t>Myra</t>
  </si>
  <si>
    <t>S159</t>
  </si>
  <si>
    <t>Nitin</t>
  </si>
  <si>
    <t>S160</t>
  </si>
  <si>
    <t>Alina</t>
  </si>
  <si>
    <t>S161</t>
  </si>
  <si>
    <t>Samar</t>
  </si>
  <si>
    <t>S162</t>
  </si>
  <si>
    <t>Jiya</t>
  </si>
  <si>
    <t>S163</t>
  </si>
  <si>
    <t>Raj</t>
  </si>
  <si>
    <t>S164</t>
  </si>
  <si>
    <t>Tanya</t>
  </si>
  <si>
    <t>S165</t>
  </si>
  <si>
    <t>Laksh</t>
  </si>
  <si>
    <t>S166</t>
  </si>
  <si>
    <t>Khushi</t>
  </si>
  <si>
    <t>S167</t>
  </si>
  <si>
    <t>Manish</t>
  </si>
  <si>
    <t>S168</t>
  </si>
  <si>
    <t>Prachi</t>
  </si>
  <si>
    <t>S169</t>
  </si>
  <si>
    <t>Gaurav</t>
  </si>
  <si>
    <t>S170</t>
  </si>
  <si>
    <t>Naina</t>
  </si>
  <si>
    <t>S171</t>
  </si>
  <si>
    <t>Rudra</t>
  </si>
  <si>
    <t>Jun</t>
  </si>
  <si>
    <t>S172</t>
  </si>
  <si>
    <t>Avni</t>
  </si>
  <si>
    <t>S173</t>
  </si>
  <si>
    <t>Krish</t>
  </si>
  <si>
    <t>S174</t>
  </si>
  <si>
    <t>Anika</t>
  </si>
  <si>
    <t>S175</t>
  </si>
  <si>
    <t>Dhruv</t>
  </si>
  <si>
    <t>S176</t>
  </si>
  <si>
    <t>Sara</t>
  </si>
  <si>
    <t>S177</t>
  </si>
  <si>
    <t>Vivan</t>
  </si>
  <si>
    <t>S178</t>
  </si>
  <si>
    <t>Mehak</t>
  </si>
  <si>
    <t>S179</t>
  </si>
  <si>
    <t>Om</t>
  </si>
  <si>
    <t>S180</t>
  </si>
  <si>
    <t>Ruhi</t>
  </si>
  <si>
    <t>S181</t>
  </si>
  <si>
    <t>Yuvraj</t>
  </si>
  <si>
    <t>S182</t>
  </si>
  <si>
    <t>Shruti</t>
  </si>
  <si>
    <t>S183</t>
  </si>
  <si>
    <t>Arnav</t>
  </si>
  <si>
    <t>S184</t>
  </si>
  <si>
    <t>Trisha</t>
  </si>
  <si>
    <t>S185</t>
  </si>
  <si>
    <t>Pranav</t>
  </si>
  <si>
    <t>S186</t>
  </si>
  <si>
    <t>Vaishnavi</t>
  </si>
  <si>
    <t>S187</t>
  </si>
  <si>
    <t>Keshav</t>
  </si>
  <si>
    <t>S188</t>
  </si>
  <si>
    <t>Pihu</t>
  </si>
  <si>
    <t>S189</t>
  </si>
  <si>
    <t>Raghav</t>
  </si>
  <si>
    <t>S190</t>
  </si>
  <si>
    <t>Aditi</t>
  </si>
  <si>
    <t>S191</t>
  </si>
  <si>
    <t>Tejas</t>
  </si>
  <si>
    <t>Jul</t>
  </si>
  <si>
    <t>S192</t>
  </si>
  <si>
    <t>Mahi</t>
  </si>
  <si>
    <t>S193</t>
  </si>
  <si>
    <t>Ishaan</t>
  </si>
  <si>
    <t>S194</t>
  </si>
  <si>
    <t>Saanvi</t>
  </si>
  <si>
    <t>S195</t>
  </si>
  <si>
    <t>Atharv</t>
  </si>
  <si>
    <t>S196</t>
  </si>
  <si>
    <t>Pari</t>
  </si>
  <si>
    <t>S197</t>
  </si>
  <si>
    <t>Reyansh</t>
  </si>
  <si>
    <t>S198</t>
  </si>
  <si>
    <t>Anvi</t>
  </si>
  <si>
    <t>S199</t>
  </si>
  <si>
    <t>Devansh</t>
  </si>
  <si>
    <t>S200</t>
  </si>
  <si>
    <t>Charvi</t>
  </si>
  <si>
    <t>S201</t>
  </si>
  <si>
    <t>Kabir</t>
  </si>
  <si>
    <t>S202</t>
  </si>
  <si>
    <t>Rhea</t>
  </si>
  <si>
    <t>S203</t>
  </si>
  <si>
    <t>Ayaan</t>
  </si>
  <si>
    <t>S204</t>
  </si>
  <si>
    <t>S205</t>
  </si>
  <si>
    <t>Ronit</t>
  </si>
  <si>
    <t>S206</t>
  </si>
  <si>
    <t>Ishita</t>
  </si>
  <si>
    <t>S207</t>
  </si>
  <si>
    <t>S208</t>
  </si>
  <si>
    <t>Navika</t>
  </si>
  <si>
    <t>S209</t>
  </si>
  <si>
    <t>Kartik</t>
  </si>
  <si>
    <t>S210</t>
  </si>
  <si>
    <t>Samaira</t>
  </si>
  <si>
    <t>S211</t>
  </si>
  <si>
    <t>Abeer</t>
  </si>
  <si>
    <t>Aug</t>
  </si>
  <si>
    <t>S212</t>
  </si>
  <si>
    <t>S213</t>
  </si>
  <si>
    <t>Ritvik</t>
  </si>
  <si>
    <t>S214</t>
  </si>
  <si>
    <t>Anushka</t>
  </si>
  <si>
    <t>S215</t>
  </si>
  <si>
    <t>S216</t>
  </si>
  <si>
    <t>Tia</t>
  </si>
  <si>
    <t>S217</t>
  </si>
  <si>
    <t>Vihaan</t>
  </si>
  <si>
    <t>S218</t>
  </si>
  <si>
    <t>Kashvi</t>
  </si>
  <si>
    <t>S219</t>
  </si>
  <si>
    <t>Rachit</t>
  </si>
  <si>
    <t>S220</t>
  </si>
  <si>
    <t>Prisha</t>
  </si>
  <si>
    <t>S221</t>
  </si>
  <si>
    <t>Advik</t>
  </si>
  <si>
    <t>S222</t>
  </si>
  <si>
    <t>Nyra</t>
  </si>
  <si>
    <t>S223</t>
  </si>
  <si>
    <t>Rishi</t>
  </si>
  <si>
    <t>S224</t>
  </si>
  <si>
    <t>Anaira</t>
  </si>
  <si>
    <t>S225</t>
  </si>
  <si>
    <t>Shivansh</t>
  </si>
  <si>
    <t>S226</t>
  </si>
  <si>
    <t>Ahana</t>
  </si>
  <si>
    <t>S227</t>
  </si>
  <si>
    <t>Yashvi</t>
  </si>
  <si>
    <t>S228</t>
  </si>
  <si>
    <t>Aria</t>
  </si>
  <si>
    <t>S229</t>
  </si>
  <si>
    <t>Daksh</t>
  </si>
  <si>
    <t>S230</t>
  </si>
  <si>
    <t>Inaaya</t>
  </si>
  <si>
    <t>S231</t>
  </si>
  <si>
    <t>Aarohi</t>
  </si>
  <si>
    <t>Sep</t>
  </si>
  <si>
    <t>S232</t>
  </si>
  <si>
    <t>Rivan</t>
  </si>
  <si>
    <t>S233</t>
  </si>
  <si>
    <t>Kiaan</t>
  </si>
  <si>
    <t>S234</t>
  </si>
  <si>
    <t>Mysha</t>
  </si>
  <si>
    <t>S235</t>
  </si>
  <si>
    <t>Advaith</t>
  </si>
  <si>
    <t>S236</t>
  </si>
  <si>
    <t>Zara</t>
  </si>
  <si>
    <t>S237</t>
  </si>
  <si>
    <t>Rudransh</t>
  </si>
  <si>
    <t>S238</t>
  </si>
  <si>
    <t>Noor</t>
  </si>
  <si>
    <t>S239</t>
  </si>
  <si>
    <t>Kriv</t>
  </si>
  <si>
    <t>S240</t>
  </si>
  <si>
    <t>Aadhya</t>
  </si>
  <si>
    <t>S241</t>
  </si>
  <si>
    <t>Aryaveer</t>
  </si>
  <si>
    <t>S242</t>
  </si>
  <si>
    <t>Taara</t>
  </si>
  <si>
    <t>S243</t>
  </si>
  <si>
    <t>Parv</t>
  </si>
  <si>
    <t>S244</t>
  </si>
  <si>
    <t>Mishka</t>
  </si>
  <si>
    <t>S245</t>
  </si>
  <si>
    <t>Viaan</t>
  </si>
  <si>
    <t>S246</t>
  </si>
  <si>
    <t>Anaya</t>
  </si>
  <si>
    <t>S247</t>
  </si>
  <si>
    <t>Raunak</t>
  </si>
  <si>
    <t>S248</t>
  </si>
  <si>
    <t>Kyra</t>
  </si>
  <si>
    <t>S249</t>
  </si>
  <si>
    <t>Neil</t>
  </si>
  <si>
    <t>S250</t>
  </si>
  <si>
    <t>Suhani</t>
  </si>
  <si>
    <t>S251</t>
  </si>
  <si>
    <t>Arham</t>
  </si>
  <si>
    <t>Oct</t>
  </si>
  <si>
    <t>S252</t>
  </si>
  <si>
    <t>Avika</t>
  </si>
  <si>
    <t>S253</t>
  </si>
  <si>
    <t>Rehan</t>
  </si>
  <si>
    <t>S254</t>
  </si>
  <si>
    <t>Siara</t>
  </si>
  <si>
    <t>S255</t>
  </si>
  <si>
    <t>Pratham</t>
  </si>
  <si>
    <t>S256</t>
  </si>
  <si>
    <t>S257</t>
  </si>
  <si>
    <t>Devika</t>
  </si>
  <si>
    <t>S258</t>
  </si>
  <si>
    <t>Riaan</t>
  </si>
  <si>
    <t>S259</t>
  </si>
  <si>
    <t>Sharv</t>
  </si>
  <si>
    <t>S260</t>
  </si>
  <si>
    <t>Aarna</t>
  </si>
  <si>
    <t>S261</t>
  </si>
  <si>
    <t>Vir</t>
  </si>
  <si>
    <t>S262</t>
  </si>
  <si>
    <t>S263</t>
  </si>
  <si>
    <t>Rohin</t>
  </si>
  <si>
    <t>S264</t>
  </si>
  <si>
    <t>S265</t>
  </si>
  <si>
    <t>Adiraj</t>
  </si>
  <si>
    <t>S266</t>
  </si>
  <si>
    <t>Ritika</t>
  </si>
  <si>
    <t>S267</t>
  </si>
  <si>
    <t>Ayra</t>
  </si>
  <si>
    <t>S268</t>
  </si>
  <si>
    <t>S269</t>
  </si>
  <si>
    <t>Ivaan</t>
  </si>
  <si>
    <t>S270</t>
  </si>
  <si>
    <t>Meher</t>
  </si>
  <si>
    <t>S271</t>
  </si>
  <si>
    <t>Yuvan</t>
  </si>
  <si>
    <t>Nov</t>
  </si>
  <si>
    <t>S272</t>
  </si>
  <si>
    <t>Sia</t>
  </si>
  <si>
    <t>S273</t>
  </si>
  <si>
    <t>Atharva</t>
  </si>
  <si>
    <t>S274</t>
  </si>
  <si>
    <t>S275</t>
  </si>
  <si>
    <t>Ritansh</t>
  </si>
  <si>
    <t>S276</t>
  </si>
  <si>
    <t>Pranjal</t>
  </si>
  <si>
    <t>S277</t>
  </si>
  <si>
    <t>Shlok</t>
  </si>
  <si>
    <t>S278</t>
  </si>
  <si>
    <t>Avneet</t>
  </si>
  <si>
    <t>S279</t>
  </si>
  <si>
    <t>Darsh</t>
  </si>
  <si>
    <t>S280</t>
  </si>
  <si>
    <t>Tanisha</t>
  </si>
  <si>
    <t>S281</t>
  </si>
  <si>
    <t>Arjit</t>
  </si>
  <si>
    <t>S282</t>
  </si>
  <si>
    <t>Samriddhi</t>
  </si>
  <si>
    <t>S283</t>
  </si>
  <si>
    <t>Vedant</t>
  </si>
  <si>
    <t>S284</t>
  </si>
  <si>
    <t>S285</t>
  </si>
  <si>
    <t>Samarth</t>
  </si>
  <si>
    <t>S286</t>
  </si>
  <si>
    <t>Inaya</t>
  </si>
  <si>
    <t>S287</t>
  </si>
  <si>
    <t>Raghvendra</t>
  </si>
  <si>
    <t>S288</t>
  </si>
  <si>
    <t>Aaliya</t>
  </si>
  <si>
    <t>S289</t>
  </si>
  <si>
    <t>S290</t>
  </si>
  <si>
    <t>Charu</t>
  </si>
  <si>
    <t>S291</t>
  </si>
  <si>
    <t>Vyansh</t>
  </si>
  <si>
    <t>Dec</t>
  </si>
  <si>
    <t>S292</t>
  </si>
  <si>
    <t>S293</t>
  </si>
  <si>
    <t>S294</t>
  </si>
  <si>
    <t>Zaina</t>
  </si>
  <si>
    <t>S295</t>
  </si>
  <si>
    <t>Rudraksh</t>
  </si>
  <si>
    <t>S296</t>
  </si>
  <si>
    <t>Parnika</t>
  </si>
  <si>
    <t>S297</t>
  </si>
  <si>
    <t>Devraj</t>
  </si>
  <si>
    <t>S298</t>
  </si>
  <si>
    <t>Maira</t>
  </si>
  <si>
    <t>S299</t>
  </si>
  <si>
    <t>Ishvik</t>
  </si>
  <si>
    <t>S300</t>
  </si>
  <si>
    <t>Aarushi</t>
  </si>
  <si>
    <t>Row Labels</t>
  </si>
  <si>
    <t>Grand Total</t>
  </si>
  <si>
    <t>Count of Student ID</t>
  </si>
  <si>
    <t>Average of Exam Score</t>
  </si>
  <si>
    <t>Average of Attendance %</t>
  </si>
  <si>
    <t>Max of Exam Score</t>
  </si>
  <si>
    <t>Performance Level</t>
  </si>
  <si>
    <t>Excellent</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</si>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</sst>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Red]#,##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2" fontId="0" fillId="0" borderId="0" xfId="0" applyNumberFormat="1"/>
    <xf numFmtId="0" fontId="0" fillId="0" borderId="0" xfId="0" applyAlignment="1">
      <alignment horizontal="left" vertical="center"/>
    </xf>
  </cellXfs>
  <cellStyles count="1">
    <cellStyle name="Normal" xfId="0" builtinId="0"/>
  </cellStyles>
  <dxfs count="12">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&amp; Productivity Dashboard.xlsx]PivotTables!MonthlyPerformance</c:name>
    <c:fmtId val="8"/>
  </c:pivotSource>
  <c:chart>
    <c:title>
      <c:tx>
        <c:rich>
          <a:bodyPr rot="0" spcFirstLastPara="1" vertOverflow="ellipsis" vert="horz" wrap="square" anchor="ctr" anchorCtr="1"/>
          <a:lstStyle/>
          <a:p>
            <a:pPr algn="ctr" rtl="0">
              <a:defRPr lang="en-US" sz="1800" b="0" i="1" u="none" strike="noStrike" kern="1200" spc="0" baseline="0">
                <a:solidFill>
                  <a:schemeClr val="tx1"/>
                </a:solidFill>
                <a:latin typeface="Arinza" pitchFamily="50" charset="0"/>
                <a:ea typeface="+mn-ea"/>
                <a:cs typeface="+mn-cs"/>
              </a:defRPr>
            </a:pPr>
            <a:r>
              <a:rPr lang="en-US" sz="1800" b="0" i="1" u="none" strike="noStrike" kern="1200" spc="0" baseline="0">
                <a:solidFill>
                  <a:schemeClr val="tx1"/>
                </a:solidFill>
                <a:latin typeface="Arinza" pitchFamily="50" charset="0"/>
                <a:ea typeface="+mn-ea"/>
                <a:cs typeface="+mn-cs"/>
              </a:rPr>
              <a:t>Monthly Performance Trend</a:t>
            </a:r>
          </a:p>
        </c:rich>
      </c:tx>
      <c:overlay val="0"/>
      <c:spPr>
        <a:noFill/>
        <a:ln>
          <a:noFill/>
        </a:ln>
        <a:effectLst/>
      </c:spPr>
      <c:txPr>
        <a:bodyPr rot="0" spcFirstLastPara="1" vertOverflow="ellipsis" vert="horz" wrap="square" anchor="ctr" anchorCtr="1"/>
        <a:lstStyle/>
        <a:p>
          <a:pPr algn="ctr" rtl="0">
            <a:defRPr lang="en-US" sz="1800" b="0" i="1" u="none" strike="noStrike" kern="1200" spc="0" baseline="0">
              <a:solidFill>
                <a:schemeClr val="tx1"/>
              </a:solidFill>
              <a:latin typeface="Arinza" pitchFamily="50"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PivotTables!$B$4:$B$16</c:f>
              <c:numCache>
                <c:formatCode>#,##0.00;[Red]#,##0.00</c:formatCode>
                <c:ptCount val="12"/>
                <c:pt idx="0">
                  <c:v>86.666666666666671</c:v>
                </c:pt>
                <c:pt idx="1">
                  <c:v>81.25</c:v>
                </c:pt>
                <c:pt idx="2">
                  <c:v>81</c:v>
                </c:pt>
                <c:pt idx="3">
                  <c:v>84.428571428571431</c:v>
                </c:pt>
                <c:pt idx="4">
                  <c:v>83</c:v>
                </c:pt>
                <c:pt idx="5">
                  <c:v>82.714285714285708</c:v>
                </c:pt>
                <c:pt idx="6">
                  <c:v>85</c:v>
                </c:pt>
                <c:pt idx="7">
                  <c:v>82.166666666666671</c:v>
                </c:pt>
                <c:pt idx="8">
                  <c:v>82.571428571428569</c:v>
                </c:pt>
                <c:pt idx="9">
                  <c:v>84.571428571428569</c:v>
                </c:pt>
                <c:pt idx="10">
                  <c:v>82.166666666666671</c:v>
                </c:pt>
                <c:pt idx="11">
                  <c:v>83.75</c:v>
                </c:pt>
              </c:numCache>
            </c:numRef>
          </c:val>
          <c:smooth val="0"/>
          <c:extLst>
            <c:ext xmlns:c16="http://schemas.microsoft.com/office/drawing/2014/chart" uri="{C3380CC4-5D6E-409C-BE32-E72D297353CC}">
              <c16:uniqueId val="{00000000-72CE-4D54-BB93-88AD7EE02A54}"/>
            </c:ext>
          </c:extLst>
        </c:ser>
        <c:dLbls>
          <c:dLblPos val="t"/>
          <c:showLegendKey val="0"/>
          <c:showVal val="1"/>
          <c:showCatName val="0"/>
          <c:showSerName val="0"/>
          <c:showPercent val="0"/>
          <c:showBubbleSize val="0"/>
        </c:dLbls>
        <c:smooth val="0"/>
        <c:axId val="1213978687"/>
        <c:axId val="1213979647"/>
      </c:lineChart>
      <c:catAx>
        <c:axId val="1213978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crossAx val="1213979647"/>
        <c:crosses val="autoZero"/>
        <c:auto val="1"/>
        <c:lblAlgn val="ctr"/>
        <c:lblOffset val="100"/>
        <c:noMultiLvlLbl val="0"/>
      </c:catAx>
      <c:valAx>
        <c:axId val="1213979647"/>
        <c:scaling>
          <c:orientation val="minMax"/>
        </c:scaling>
        <c:delete val="1"/>
        <c:axPos val="l"/>
        <c:numFmt formatCode="#,##0.00;[Red]#,##0.00" sourceLinked="1"/>
        <c:majorTickMark val="out"/>
        <c:minorTickMark val="none"/>
        <c:tickLblPos val="nextTo"/>
        <c:crossAx val="121397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 Performance &amp; Productivity Dashboard.xlsx]PivotTables!DeptPerformance</c:name>
    <c:fmtId val="5"/>
  </c:pivotSource>
  <c:chart>
    <c:title>
      <c:tx>
        <c:rich>
          <a:bodyPr rot="0" spcFirstLastPara="1" vertOverflow="ellipsis" vert="horz" wrap="square" anchor="ctr" anchorCtr="1"/>
          <a:lstStyle/>
          <a:p>
            <a:pPr algn="ctr" rtl="0">
              <a:defRPr lang="en-IN" sz="1800" b="0" i="1" u="none" strike="noStrike" kern="1200" spc="0" baseline="0">
                <a:solidFill>
                  <a:schemeClr val="tx1"/>
                </a:solidFill>
                <a:latin typeface="Arinza" pitchFamily="50" charset="0"/>
                <a:ea typeface="+mn-ea"/>
                <a:cs typeface="+mn-cs"/>
              </a:defRPr>
            </a:pPr>
            <a:r>
              <a:rPr lang="en-IN" sz="1800" b="0" i="1" u="none" strike="noStrike" kern="1200" spc="0" baseline="0">
                <a:solidFill>
                  <a:schemeClr val="tx1"/>
                </a:solidFill>
                <a:latin typeface="Arinza" pitchFamily="50" charset="0"/>
                <a:ea typeface="+mn-ea"/>
                <a:cs typeface="+mn-cs"/>
              </a:rPr>
              <a:t>Department Based Performance</a:t>
            </a:r>
          </a:p>
        </c:rich>
      </c:tx>
      <c:overlay val="0"/>
      <c:spPr>
        <a:noFill/>
        <a:ln>
          <a:noFill/>
        </a:ln>
        <a:effectLst/>
      </c:spPr>
      <c:txPr>
        <a:bodyPr rot="0" spcFirstLastPara="1" vertOverflow="ellipsis" vert="horz" wrap="square" anchor="ctr" anchorCtr="1"/>
        <a:lstStyle/>
        <a:p>
          <a:pPr algn="ctr" rtl="0">
            <a:defRPr lang="en-IN" sz="1800" b="0" i="1" u="none" strike="noStrike" kern="1200" spc="0" baseline="0">
              <a:solidFill>
                <a:schemeClr val="tx1"/>
              </a:solidFill>
              <a:latin typeface="Arinza" pitchFamily="50" charset="0"/>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s>
    <c:plotArea>
      <c:layout/>
      <c:barChart>
        <c:barDir val="bar"/>
        <c:grouping val="clustered"/>
        <c:varyColors val="0"/>
        <c:ser>
          <c:idx val="0"/>
          <c:order val="0"/>
          <c:tx>
            <c:strRef>
              <c:f>PivotTables!$E$3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PivotTables!$D$4:$D$5</c:f>
              <c:strCache>
                <c:ptCount val="1"/>
                <c:pt idx="0">
                  <c:v>CS</c:v>
                </c:pt>
              </c:strCache>
            </c:strRef>
          </c:cat>
          <c:val>
            <c:numRef>
              <c:f>PivotTables!$E$4:$E$5</c:f>
              <c:numCache>
                <c:formatCode>#,##0.00;[Red]#,##0.00</c:formatCode>
                <c:ptCount val="1"/>
                <c:pt idx="0">
                  <c:v>83.31343283582089</c:v>
                </c:pt>
              </c:numCache>
            </c:numRef>
          </c:val>
          <c:extLst>
            <c:ext xmlns:c16="http://schemas.microsoft.com/office/drawing/2014/chart" uri="{C3380CC4-5D6E-409C-BE32-E72D297353CC}">
              <c16:uniqueId val="{00000000-5C75-4750-83BA-2C987F9D516B}"/>
            </c:ext>
          </c:extLst>
        </c:ser>
        <c:dLbls>
          <c:dLblPos val="outEnd"/>
          <c:showLegendKey val="0"/>
          <c:showVal val="1"/>
          <c:showCatName val="0"/>
          <c:showSerName val="0"/>
          <c:showPercent val="0"/>
          <c:showBubbleSize val="0"/>
        </c:dLbls>
        <c:gapWidth val="182"/>
        <c:axId val="1213987327"/>
        <c:axId val="1213989247"/>
      </c:barChart>
      <c:catAx>
        <c:axId val="121398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US"/>
          </a:p>
        </c:txPr>
        <c:crossAx val="1213989247"/>
        <c:crosses val="autoZero"/>
        <c:auto val="1"/>
        <c:lblAlgn val="ctr"/>
        <c:lblOffset val="100"/>
        <c:noMultiLvlLbl val="0"/>
      </c:catAx>
      <c:valAx>
        <c:axId val="1213989247"/>
        <c:scaling>
          <c:orientation val="minMax"/>
        </c:scaling>
        <c:delete val="1"/>
        <c:axPos val="b"/>
        <c:numFmt formatCode="#,##0.00;[Red]#,##0.00" sourceLinked="1"/>
        <c:majorTickMark val="none"/>
        <c:minorTickMark val="none"/>
        <c:tickLblPos val="nextTo"/>
        <c:crossAx val="1213987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&amp; Productivity Dashboard.xlsx]PivotTables!SubjectWise</c:name>
    <c:fmtId val="5"/>
  </c:pivotSource>
  <c:chart>
    <c:title>
      <c:tx>
        <c:rich>
          <a:bodyPr rot="0" spcFirstLastPara="1" vertOverflow="ellipsis" vert="horz" wrap="square" anchor="ctr" anchorCtr="1"/>
          <a:lstStyle/>
          <a:p>
            <a:pPr algn="ctr" rtl="0">
              <a:defRPr lang="en-IN" sz="1800" b="0" i="1" u="none" strike="noStrike" kern="1200" spc="0" baseline="0">
                <a:solidFill>
                  <a:schemeClr val="tx1"/>
                </a:solidFill>
                <a:latin typeface="Arinza" pitchFamily="50" charset="0"/>
                <a:ea typeface="+mn-ea"/>
                <a:cs typeface="+mn-cs"/>
              </a:defRPr>
            </a:pPr>
            <a:r>
              <a:rPr lang="en-IN" sz="1800" b="0" i="1" u="none" strike="noStrike" kern="1200" spc="0" baseline="0">
                <a:solidFill>
                  <a:schemeClr val="tx1"/>
                </a:solidFill>
                <a:latin typeface="Arinza" pitchFamily="50" charset="0"/>
                <a:ea typeface="+mn-ea"/>
                <a:cs typeface="+mn-cs"/>
              </a:rPr>
              <a:t>Subject Analysis</a:t>
            </a:r>
          </a:p>
        </c:rich>
      </c:tx>
      <c:overlay val="0"/>
      <c:spPr>
        <a:noFill/>
        <a:ln>
          <a:noFill/>
        </a:ln>
        <a:effectLst/>
      </c:spPr>
      <c:txPr>
        <a:bodyPr rot="0" spcFirstLastPara="1" vertOverflow="ellipsis" vert="horz" wrap="square" anchor="ctr" anchorCtr="1"/>
        <a:lstStyle/>
        <a:p>
          <a:pPr algn="ctr" rtl="0">
            <a:defRPr lang="en-IN" sz="1800" b="0" i="1" u="none" strike="noStrike" kern="1200" spc="0" baseline="0">
              <a:solidFill>
                <a:schemeClr val="tx1"/>
              </a:solidFill>
              <a:latin typeface="Arinza" pitchFamily="50" charset="0"/>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1"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1"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Average of Exam Score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200" b="1" i="1"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PivotTables!$G$4:$G$8</c:f>
              <c:strCache>
                <c:ptCount val="4"/>
                <c:pt idx="0">
                  <c:v>DBMS</c:v>
                </c:pt>
                <c:pt idx="1">
                  <c:v>Java</c:v>
                </c:pt>
                <c:pt idx="2">
                  <c:v>Python</c:v>
                </c:pt>
                <c:pt idx="3">
                  <c:v>SQL</c:v>
                </c:pt>
              </c:strCache>
            </c:strRef>
          </c:cat>
          <c:val>
            <c:numRef>
              <c:f>PivotTables!$H$4:$H$8</c:f>
              <c:numCache>
                <c:formatCode>#,##0.00;[Red]#,##0.00</c:formatCode>
                <c:ptCount val="4"/>
                <c:pt idx="0">
                  <c:v>80.875</c:v>
                </c:pt>
                <c:pt idx="1">
                  <c:v>91.4375</c:v>
                </c:pt>
                <c:pt idx="2">
                  <c:v>86.588235294117652</c:v>
                </c:pt>
                <c:pt idx="3">
                  <c:v>75.166666666666671</c:v>
                </c:pt>
              </c:numCache>
            </c:numRef>
          </c:val>
          <c:extLst>
            <c:ext xmlns:c16="http://schemas.microsoft.com/office/drawing/2014/chart" uri="{C3380CC4-5D6E-409C-BE32-E72D297353CC}">
              <c16:uniqueId val="{00000000-A535-4F2A-8F20-5B020FC6E918}"/>
            </c:ext>
          </c:extLst>
        </c:ser>
        <c:ser>
          <c:idx val="1"/>
          <c:order val="1"/>
          <c:tx>
            <c:strRef>
              <c:f>PivotTables!$I$3</c:f>
              <c:strCache>
                <c:ptCount val="1"/>
                <c:pt idx="0">
                  <c:v>Average of Attendance %</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1200" b="1" i="1"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PivotTables!$G$4:$G$8</c:f>
              <c:strCache>
                <c:ptCount val="4"/>
                <c:pt idx="0">
                  <c:v>DBMS</c:v>
                </c:pt>
                <c:pt idx="1">
                  <c:v>Java</c:v>
                </c:pt>
                <c:pt idx="2">
                  <c:v>Python</c:v>
                </c:pt>
                <c:pt idx="3">
                  <c:v>SQL</c:v>
                </c:pt>
              </c:strCache>
            </c:strRef>
          </c:cat>
          <c:val>
            <c:numRef>
              <c:f>PivotTables!$I$4:$I$8</c:f>
              <c:numCache>
                <c:formatCode>0.00</c:formatCode>
                <c:ptCount val="4"/>
                <c:pt idx="0">
                  <c:v>82.9375</c:v>
                </c:pt>
                <c:pt idx="1">
                  <c:v>92.3125</c:v>
                </c:pt>
                <c:pt idx="2">
                  <c:v>87.82352941176471</c:v>
                </c:pt>
                <c:pt idx="3">
                  <c:v>77.111111111111114</c:v>
                </c:pt>
              </c:numCache>
            </c:numRef>
          </c:val>
          <c:extLst>
            <c:ext xmlns:c16="http://schemas.microsoft.com/office/drawing/2014/chart" uri="{C3380CC4-5D6E-409C-BE32-E72D297353CC}">
              <c16:uniqueId val="{00000001-A535-4F2A-8F20-5B020FC6E918}"/>
            </c:ext>
          </c:extLst>
        </c:ser>
        <c:dLbls>
          <c:dLblPos val="outEnd"/>
          <c:showLegendKey val="0"/>
          <c:showVal val="1"/>
          <c:showCatName val="0"/>
          <c:showSerName val="0"/>
          <c:showPercent val="0"/>
          <c:showBubbleSize val="0"/>
        </c:dLbls>
        <c:gapWidth val="219"/>
        <c:overlap val="-27"/>
        <c:axId val="1015110927"/>
        <c:axId val="1015112847"/>
      </c:barChart>
      <c:catAx>
        <c:axId val="101511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1" u="none" strike="noStrike" kern="1200" baseline="0">
                <a:solidFill>
                  <a:schemeClr val="tx1">
                    <a:lumMod val="65000"/>
                    <a:lumOff val="35000"/>
                  </a:schemeClr>
                </a:solidFill>
                <a:latin typeface="+mn-lt"/>
                <a:ea typeface="+mn-ea"/>
                <a:cs typeface="+mn-cs"/>
              </a:defRPr>
            </a:pPr>
            <a:endParaRPr lang="en-US"/>
          </a:p>
        </c:txPr>
        <c:crossAx val="1015112847"/>
        <c:crosses val="autoZero"/>
        <c:auto val="1"/>
        <c:lblAlgn val="ctr"/>
        <c:lblOffset val="100"/>
        <c:noMultiLvlLbl val="0"/>
      </c:catAx>
      <c:valAx>
        <c:axId val="1015112847"/>
        <c:scaling>
          <c:orientation val="minMax"/>
        </c:scaling>
        <c:delete val="1"/>
        <c:axPos val="l"/>
        <c:numFmt formatCode="#,##0.00;[Red]#,##0.00" sourceLinked="1"/>
        <c:majorTickMark val="none"/>
        <c:minorTickMark val="none"/>
        <c:tickLblPos val="nextTo"/>
        <c:crossAx val="10151109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&amp; Productivity Dashboard.xlsx]PivotTables!Top10</c:name>
    <c:fmtId val="8"/>
  </c:pivotSource>
  <c:chart>
    <c:title>
      <c:tx>
        <c:rich>
          <a:bodyPr rot="0" spcFirstLastPara="1" vertOverflow="ellipsis" vert="horz" wrap="square" anchor="ctr" anchorCtr="1"/>
          <a:lstStyle/>
          <a:p>
            <a:pPr algn="ctr" rtl="0">
              <a:defRPr lang="en-IN" sz="1800" b="0" i="1" u="none" strike="noStrike" kern="1200" spc="0" baseline="0">
                <a:solidFill>
                  <a:schemeClr val="tx1"/>
                </a:solidFill>
                <a:latin typeface="Arinza" pitchFamily="50" charset="0"/>
                <a:ea typeface="+mn-ea"/>
                <a:cs typeface="+mn-cs"/>
              </a:defRPr>
            </a:pPr>
            <a:r>
              <a:rPr lang="en-IN" sz="1800" b="0" i="1" u="none" strike="noStrike" kern="1200" spc="0" baseline="0">
                <a:solidFill>
                  <a:schemeClr val="tx1"/>
                </a:solidFill>
                <a:latin typeface="Arinza" pitchFamily="50" charset="0"/>
                <a:ea typeface="+mn-ea"/>
                <a:cs typeface="+mn-cs"/>
              </a:rPr>
              <a:t>Top 10 Students</a:t>
            </a:r>
          </a:p>
        </c:rich>
      </c:tx>
      <c:overlay val="0"/>
      <c:spPr>
        <a:noFill/>
        <a:ln>
          <a:noFill/>
        </a:ln>
        <a:effectLst/>
      </c:spPr>
      <c:txPr>
        <a:bodyPr rot="0" spcFirstLastPara="1" vertOverflow="ellipsis" vert="horz" wrap="square" anchor="ctr" anchorCtr="1"/>
        <a:lstStyle/>
        <a:p>
          <a:pPr algn="ctr" rtl="0">
            <a:defRPr lang="en-IN" sz="1800" b="0" i="1" u="none" strike="noStrike" kern="1200" spc="0" baseline="0">
              <a:solidFill>
                <a:schemeClr val="tx1"/>
              </a:solidFill>
              <a:latin typeface="Arinza" pitchFamily="50" charset="0"/>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PivotTables!$L$3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PivotTables!$K$4:$K$19</c:f>
              <c:strCache>
                <c:ptCount val="15"/>
                <c:pt idx="0">
                  <c:v>Anaya</c:v>
                </c:pt>
                <c:pt idx="1">
                  <c:v>Anika</c:v>
                </c:pt>
                <c:pt idx="2">
                  <c:v>Anjali</c:v>
                </c:pt>
                <c:pt idx="3">
                  <c:v>Anvi</c:v>
                </c:pt>
                <c:pt idx="4">
                  <c:v>Jiya</c:v>
                </c:pt>
                <c:pt idx="5">
                  <c:v>Krisha</c:v>
                </c:pt>
                <c:pt idx="6">
                  <c:v>Meher</c:v>
                </c:pt>
                <c:pt idx="7">
                  <c:v>Mysha</c:v>
                </c:pt>
                <c:pt idx="8">
                  <c:v>Nyra</c:v>
                </c:pt>
                <c:pt idx="9">
                  <c:v>Reema</c:v>
                </c:pt>
                <c:pt idx="10">
                  <c:v>Riaan</c:v>
                </c:pt>
                <c:pt idx="11">
                  <c:v>Samaira</c:v>
                </c:pt>
                <c:pt idx="12">
                  <c:v>Samriddhi</c:v>
                </c:pt>
                <c:pt idx="13">
                  <c:v>Vaishnavi</c:v>
                </c:pt>
                <c:pt idx="14">
                  <c:v>Zaina</c:v>
                </c:pt>
              </c:strCache>
            </c:strRef>
          </c:cat>
          <c:val>
            <c:numRef>
              <c:f>PivotTables!$L$4:$L$19</c:f>
              <c:numCache>
                <c:formatCode>#,##0.00;[Red]#,##0.00</c:formatCode>
                <c:ptCount val="15"/>
                <c:pt idx="0">
                  <c:v>92</c:v>
                </c:pt>
                <c:pt idx="1">
                  <c:v>92</c:v>
                </c:pt>
                <c:pt idx="2">
                  <c:v>92</c:v>
                </c:pt>
                <c:pt idx="3">
                  <c:v>92</c:v>
                </c:pt>
                <c:pt idx="4">
                  <c:v>91</c:v>
                </c:pt>
                <c:pt idx="5">
                  <c:v>91</c:v>
                </c:pt>
                <c:pt idx="6">
                  <c:v>92</c:v>
                </c:pt>
                <c:pt idx="7">
                  <c:v>91</c:v>
                </c:pt>
                <c:pt idx="8">
                  <c:v>92</c:v>
                </c:pt>
                <c:pt idx="9">
                  <c:v>93</c:v>
                </c:pt>
                <c:pt idx="10">
                  <c:v>91</c:v>
                </c:pt>
                <c:pt idx="11">
                  <c:v>91</c:v>
                </c:pt>
                <c:pt idx="12">
                  <c:v>91</c:v>
                </c:pt>
                <c:pt idx="13">
                  <c:v>91</c:v>
                </c:pt>
                <c:pt idx="14">
                  <c:v>92</c:v>
                </c:pt>
              </c:numCache>
            </c:numRef>
          </c:val>
          <c:extLst>
            <c:ext xmlns:c16="http://schemas.microsoft.com/office/drawing/2014/chart" uri="{C3380CC4-5D6E-409C-BE32-E72D297353CC}">
              <c16:uniqueId val="{00000000-849A-4FAE-8C1E-A5927EF4258C}"/>
            </c:ext>
          </c:extLst>
        </c:ser>
        <c:dLbls>
          <c:dLblPos val="outEnd"/>
          <c:showLegendKey val="0"/>
          <c:showVal val="1"/>
          <c:showCatName val="0"/>
          <c:showSerName val="0"/>
          <c:showPercent val="0"/>
          <c:showBubbleSize val="0"/>
        </c:dLbls>
        <c:gapWidth val="182"/>
        <c:axId val="1015109487"/>
        <c:axId val="1015109967"/>
      </c:barChart>
      <c:catAx>
        <c:axId val="101510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chemeClr val="tx1">
                    <a:lumMod val="65000"/>
                    <a:lumOff val="35000"/>
                  </a:schemeClr>
                </a:solidFill>
                <a:latin typeface="+mn-lt"/>
                <a:ea typeface="+mn-ea"/>
                <a:cs typeface="+mn-cs"/>
              </a:defRPr>
            </a:pPr>
            <a:endParaRPr lang="en-US"/>
          </a:p>
        </c:txPr>
        <c:crossAx val="1015109967"/>
        <c:crosses val="autoZero"/>
        <c:auto val="1"/>
        <c:lblAlgn val="ctr"/>
        <c:lblOffset val="100"/>
        <c:noMultiLvlLbl val="0"/>
      </c:catAx>
      <c:valAx>
        <c:axId val="1015109967"/>
        <c:scaling>
          <c:orientation val="minMax"/>
        </c:scaling>
        <c:delete val="1"/>
        <c:axPos val="b"/>
        <c:numFmt formatCode="#,##0.00;[Red]#,##0.00" sourceLinked="1"/>
        <c:majorTickMark val="none"/>
        <c:minorTickMark val="none"/>
        <c:tickLblPos val="nextTo"/>
        <c:crossAx val="101510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&amp; Productivity Dashboard.xlsx]PivotTables!Perfomance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i="1">
                <a:solidFill>
                  <a:schemeClr val="tx1"/>
                </a:solidFill>
                <a:latin typeface="Arinza" pitchFamily="50" charset="0"/>
              </a:rPr>
              <a:t>Performance</a:t>
            </a:r>
            <a:r>
              <a:rPr lang="en-US" sz="1800" i="1" baseline="0">
                <a:solidFill>
                  <a:schemeClr val="tx1"/>
                </a:solidFill>
                <a:latin typeface="Arinza" pitchFamily="50" charset="0"/>
              </a:rPr>
              <a:t> Distribution </a:t>
            </a:r>
            <a:endParaRPr lang="en-US" sz="1800" i="1">
              <a:solidFill>
                <a:schemeClr val="tx1"/>
              </a:solidFill>
              <a:latin typeface="Arinza" pitchFamily="50"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Excellent  - </a:t>
                </a:r>
                <a:fld id="{7AE8CE3C-C0AE-4A43-A105-7EF24188FFD5}"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Good - </a:t>
                </a:r>
                <a:fld id="{00AE3A20-E092-4BC6-9743-1D8C7B2B90D2}"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Needs Improvement  - </a:t>
                </a:r>
                <a:fld id="{0428C9C4-35EA-481B-A2D0-D0AF987746AF}"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Excellent  - </a:t>
                </a:r>
                <a:fld id="{7AE8CE3C-C0AE-4A43-A105-7EF24188FFD5}"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Good - </a:t>
                </a:r>
                <a:fld id="{00AE3A20-E092-4BC6-9743-1D8C7B2B90D2}"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Needs Improvement  - </a:t>
                </a:r>
                <a:fld id="{0428C9C4-35EA-481B-A2D0-D0AF987746AF}"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
              <c:y val="3.8915676189280234E-2"/>
            </c:manualLayout>
          </c:layout>
          <c:tx>
            <c:rich>
              <a:bodyPr rot="0" spcFirstLastPara="1" vertOverflow="ellipsis" vert="horz" wrap="square" lIns="38100" tIns="19050" rIns="38100" bIns="19050" anchor="ctr" anchorCtr="1">
                <a:spAutoFit/>
              </a:bodyPr>
              <a:lstStyle/>
              <a:p>
                <a:pPr>
                  <a:defRPr sz="900" b="1" i="1" u="none" strike="noStrike" kern="1200" baseline="0">
                    <a:solidFill>
                      <a:schemeClr val="tx1">
                        <a:lumMod val="65000"/>
                        <a:lumOff val="35000"/>
                      </a:schemeClr>
                    </a:solidFill>
                    <a:latin typeface="+mn-lt"/>
                    <a:ea typeface="+mn-ea"/>
                    <a:cs typeface="+mn-cs"/>
                  </a:defRPr>
                </a:pPr>
                <a:r>
                  <a:rPr lang="en-US" sz="1200" b="1"/>
                  <a:t>Excellent  - </a:t>
                </a:r>
                <a:fld id="{7AE8CE3C-C0AE-4A43-A105-7EF24188FFD5}" type="VALUE">
                  <a:rPr lang="en-US" sz="1200" b="1"/>
                  <a:pPr>
                    <a:defRPr b="1" i="1">
                      <a:solidFill>
                        <a:schemeClr val="tx1">
                          <a:lumMod val="65000"/>
                          <a:lumOff val="35000"/>
                        </a:schemeClr>
                      </a:solidFill>
                    </a:defRPr>
                  </a:pPr>
                  <a:t>[VALUE]</a:t>
                </a:fld>
                <a:endParaRPr lang="en-US" sz="1200" b="1"/>
              </a:p>
            </c:rich>
          </c:tx>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4159616113145597"/>
                  <c:h val="0.11037017495117789"/>
                </c:manualLayout>
              </c15:layout>
              <c15:dlblFieldTable/>
              <c15:showDataLabelsRange val="0"/>
            </c:ext>
          </c:extLst>
        </c:dLbl>
      </c:pivotFmt>
      <c:pivotFmt>
        <c:idx val="10"/>
        <c:spPr>
          <a:solidFill>
            <a:schemeClr val="accent2"/>
          </a:solidFill>
          <a:ln w="19050">
            <a:solidFill>
              <a:schemeClr val="lt1"/>
            </a:solidFill>
          </a:ln>
          <a:effectLst/>
        </c:spPr>
        <c:dLbl>
          <c:idx val="0"/>
          <c:layout>
            <c:manualLayout>
              <c:x val="-5.4527086753378071E-2"/>
              <c:y val="-0.10163918876203515"/>
            </c:manualLayout>
          </c:layout>
          <c:tx>
            <c:rich>
              <a:bodyPr rot="0" spcFirstLastPara="1" vertOverflow="ellipsis" vert="horz" wrap="square" lIns="38100" tIns="19050" rIns="38100" bIns="19050" anchor="ctr" anchorCtr="0">
                <a:spAutoFit/>
              </a:bodyPr>
              <a:lstStyle/>
              <a:p>
                <a:pPr algn="ctr">
                  <a:defRPr lang="en-US" sz="900" b="1" i="1" u="none" strike="noStrike" kern="1200" baseline="0">
                    <a:solidFill>
                      <a:schemeClr val="tx1">
                        <a:lumMod val="65000"/>
                        <a:lumOff val="35000"/>
                      </a:schemeClr>
                    </a:solidFill>
                    <a:latin typeface="+mn-lt"/>
                    <a:ea typeface="+mn-ea"/>
                    <a:cs typeface="+mn-cs"/>
                  </a:defRPr>
                </a:pPr>
                <a:r>
                  <a:rPr lang="en-US" sz="1200" b="1" i="1" u="none" strike="noStrike" kern="1200" baseline="0">
                    <a:solidFill>
                      <a:schemeClr val="tx1">
                        <a:lumMod val="65000"/>
                        <a:lumOff val="35000"/>
                      </a:schemeClr>
                    </a:solidFill>
                    <a:latin typeface="+mn-lt"/>
                    <a:ea typeface="+mn-ea"/>
                    <a:cs typeface="+mn-cs"/>
                  </a:rPr>
                  <a:t>Good - </a:t>
                </a:r>
                <a:fld id="{00AE3A20-E092-4BC6-9743-1D8C7B2B90D2}" type="VALUE">
                  <a:rPr lang="en-US" sz="1200" b="1" i="1" u="none" strike="noStrike" kern="1200" baseline="0">
                    <a:solidFill>
                      <a:schemeClr val="tx1">
                        <a:lumMod val="65000"/>
                        <a:lumOff val="35000"/>
                      </a:schemeClr>
                    </a:solidFill>
                    <a:latin typeface="+mn-lt"/>
                    <a:ea typeface="+mn-ea"/>
                    <a:cs typeface="+mn-cs"/>
                  </a:rPr>
                  <a:pPr algn="ctr">
                    <a:defRPr lang="en-US" sz="900" b="1" i="1" u="none" strike="noStrike" kern="1200" baseline="0">
                      <a:solidFill>
                        <a:schemeClr val="tx1">
                          <a:lumMod val="65000"/>
                          <a:lumOff val="35000"/>
                        </a:schemeClr>
                      </a:solidFill>
                      <a:latin typeface="+mn-lt"/>
                      <a:ea typeface="+mn-ea"/>
                      <a:cs typeface="+mn-cs"/>
                    </a:defRPr>
                  </a:pPr>
                  <a:t>[VALUE]</a:t>
                </a:fld>
                <a:endParaRPr lang="en-US" sz="1200" b="1" i="1" u="none" strike="noStrike" kern="1200" baseline="0">
                  <a:solidFill>
                    <a:schemeClr val="tx1">
                      <a:lumMod val="65000"/>
                      <a:lumOff val="35000"/>
                    </a:schemeClr>
                  </a:solidFill>
                  <a:latin typeface="+mn-lt"/>
                  <a:ea typeface="+mn-ea"/>
                  <a:cs typeface="+mn-cs"/>
                </a:endParaRPr>
              </a:p>
            </c:rich>
          </c:tx>
          <c:spPr>
            <a:noFill/>
            <a:ln>
              <a:noFill/>
            </a:ln>
            <a:effectLst/>
          </c:spPr>
          <c:txPr>
            <a:bodyPr rot="0" spcFirstLastPara="1" vertOverflow="ellipsis" vert="horz" wrap="square" lIns="38100" tIns="19050" rIns="38100" bIns="19050" anchor="ctr" anchorCtr="0">
              <a:spAutoFit/>
            </a:bodyPr>
            <a:lstStyle/>
            <a:p>
              <a:pPr algn="ctr">
                <a:defRPr lang="en-US" sz="900" b="1" i="1"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solidFill>
          <a:ln w="19050">
            <a:solidFill>
              <a:schemeClr val="lt1"/>
            </a:solidFill>
          </a:ln>
          <a:effectLst/>
        </c:spPr>
        <c:dLbl>
          <c:idx val="0"/>
          <c:layout>
            <c:manualLayout>
              <c:x val="0"/>
              <c:y val="1.3689189287510979E-2"/>
            </c:manualLayout>
          </c:layout>
          <c:tx>
            <c:rich>
              <a:bodyPr rot="0" spcFirstLastPara="1" vertOverflow="ellipsis" vert="horz" wrap="square" lIns="38100" tIns="19050" rIns="38100" bIns="19050" anchor="ctr" anchorCtr="1">
                <a:noAutofit/>
              </a:bodyPr>
              <a:lstStyle/>
              <a:p>
                <a:pPr>
                  <a:defRPr sz="900" b="1" i="1" u="none" strike="noStrike" kern="1200" baseline="0">
                    <a:solidFill>
                      <a:schemeClr val="tx1">
                        <a:lumMod val="65000"/>
                        <a:lumOff val="35000"/>
                      </a:schemeClr>
                    </a:solidFill>
                    <a:latin typeface="+mn-lt"/>
                    <a:ea typeface="+mn-ea"/>
                    <a:cs typeface="+mn-cs"/>
                  </a:defRPr>
                </a:pPr>
                <a:r>
                  <a:rPr lang="en-US" sz="1200" b="1">
                    <a:solidFill>
                      <a:schemeClr val="tx1">
                        <a:lumMod val="65000"/>
                        <a:lumOff val="35000"/>
                      </a:schemeClr>
                    </a:solidFill>
                  </a:rPr>
                  <a:t>Needs Improvement  - </a:t>
                </a:r>
                <a:fld id="{0428C9C4-35EA-481B-A2D0-D0AF987746AF}" type="VALUE">
                  <a:rPr lang="en-US" sz="1200" b="1">
                    <a:solidFill>
                      <a:schemeClr val="tx1">
                        <a:lumMod val="65000"/>
                        <a:lumOff val="35000"/>
                      </a:schemeClr>
                    </a:solidFill>
                  </a:rPr>
                  <a:pPr>
                    <a:defRPr b="1" i="1">
                      <a:solidFill>
                        <a:schemeClr val="tx1">
                          <a:lumMod val="65000"/>
                          <a:lumOff val="35000"/>
                        </a:schemeClr>
                      </a:solidFill>
                    </a:defRPr>
                  </a:pPr>
                  <a:t>[VALUE]</a:t>
                </a:fld>
                <a:endParaRPr lang="en-US" sz="1200" b="1">
                  <a:solidFill>
                    <a:schemeClr val="tx1">
                      <a:lumMod val="65000"/>
                      <a:lumOff val="3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900" b="1" i="1"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58489177926505875"/>
                  <c:h val="9.8227097801327476E-2"/>
                </c:manualLayout>
              </c15:layout>
              <c15:dlblFieldTable/>
              <c15:showDataLabelsRange val="0"/>
            </c:ext>
          </c:extLst>
        </c:dLbl>
      </c:pivotFmt>
    </c:pivotFmts>
    <c:plotArea>
      <c:layout/>
      <c:pieChart>
        <c:varyColors val="1"/>
        <c:ser>
          <c:idx val="0"/>
          <c:order val="0"/>
          <c:tx>
            <c:strRef>
              <c:f>PivotTables!$O$3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E99-4DC7-9BC4-E658D8DEA46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E99-4DC7-9BC4-E658D8DEA46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E99-4DC7-9BC4-E658D8DEA46F}"/>
              </c:ext>
            </c:extLst>
          </c:dPt>
          <c:dLbls>
            <c:dLbl>
              <c:idx val="0"/>
              <c:layout>
                <c:manualLayout>
                  <c:x val="0"/>
                  <c:y val="3.8915676189280234E-2"/>
                </c:manualLayout>
              </c:layout>
              <c:tx>
                <c:rich>
                  <a:bodyPr/>
                  <a:lstStyle/>
                  <a:p>
                    <a:r>
                      <a:rPr lang="en-US" sz="1200" b="1"/>
                      <a:t>Excellent  - </a:t>
                    </a:r>
                    <a:fld id="{7AE8CE3C-C0AE-4A43-A105-7EF24188FFD5}" type="VALUE">
                      <a:rPr lang="en-US" sz="1200" b="1"/>
                      <a:pPr/>
                      <a:t>[VALUE]</a:t>
                    </a:fld>
                    <a:endParaRPr lang="en-US" sz="1200" b="1"/>
                  </a:p>
                </c:rich>
              </c:tx>
              <c:dLblPos val="bestFit"/>
              <c:showLegendKey val="0"/>
              <c:showVal val="1"/>
              <c:showCatName val="0"/>
              <c:showSerName val="0"/>
              <c:showPercent val="0"/>
              <c:showBubbleSize val="0"/>
              <c:extLst>
                <c:ext xmlns:c15="http://schemas.microsoft.com/office/drawing/2012/chart" uri="{CE6537A1-D6FC-4f65-9D91-7224C49458BB}">
                  <c15:layout>
                    <c:manualLayout>
                      <c:w val="0.34159616113145597"/>
                      <c:h val="0.11037017495117789"/>
                    </c:manualLayout>
                  </c15:layout>
                  <c15:dlblFieldTable/>
                  <c15:showDataLabelsRange val="0"/>
                </c:ext>
                <c:ext xmlns:c16="http://schemas.microsoft.com/office/drawing/2014/chart" uri="{C3380CC4-5D6E-409C-BE32-E72D297353CC}">
                  <c16:uniqueId val="{00000001-CE99-4DC7-9BC4-E658D8DEA46F}"/>
                </c:ext>
              </c:extLst>
            </c:dLbl>
            <c:dLbl>
              <c:idx val="1"/>
              <c:layout>
                <c:manualLayout>
                  <c:x val="-5.4527086753378071E-2"/>
                  <c:y val="-0.10163918876203515"/>
                </c:manualLayout>
              </c:layout>
              <c:tx>
                <c:rich>
                  <a:bodyPr rot="0" spcFirstLastPara="1" vertOverflow="ellipsis" vert="horz" wrap="square" lIns="38100" tIns="19050" rIns="38100" bIns="19050" anchor="ctr" anchorCtr="0">
                    <a:spAutoFit/>
                  </a:bodyPr>
                  <a:lstStyle/>
                  <a:p>
                    <a:pPr algn="ctr">
                      <a:defRPr lang="en-US" sz="900" b="1" i="1" u="none" strike="noStrike" kern="1200" baseline="0">
                        <a:solidFill>
                          <a:schemeClr val="tx1">
                            <a:lumMod val="65000"/>
                            <a:lumOff val="35000"/>
                          </a:schemeClr>
                        </a:solidFill>
                        <a:latin typeface="+mn-lt"/>
                        <a:ea typeface="+mn-ea"/>
                        <a:cs typeface="+mn-cs"/>
                      </a:defRPr>
                    </a:pPr>
                    <a:r>
                      <a:rPr lang="en-US" sz="1200" b="1" i="1" u="none" strike="noStrike" kern="1200" baseline="0">
                        <a:solidFill>
                          <a:schemeClr val="tx1">
                            <a:lumMod val="65000"/>
                            <a:lumOff val="35000"/>
                          </a:schemeClr>
                        </a:solidFill>
                        <a:latin typeface="+mn-lt"/>
                        <a:ea typeface="+mn-ea"/>
                        <a:cs typeface="+mn-cs"/>
                      </a:rPr>
                      <a:t>Good - </a:t>
                    </a:r>
                    <a:fld id="{00AE3A20-E092-4BC6-9743-1D8C7B2B90D2}" type="VALUE">
                      <a:rPr lang="en-US" sz="1200" b="1" i="1" u="none" strike="noStrike" kern="1200" baseline="0">
                        <a:solidFill>
                          <a:schemeClr val="tx1">
                            <a:lumMod val="65000"/>
                            <a:lumOff val="35000"/>
                          </a:schemeClr>
                        </a:solidFill>
                        <a:latin typeface="+mn-lt"/>
                        <a:ea typeface="+mn-ea"/>
                        <a:cs typeface="+mn-cs"/>
                      </a:rPr>
                      <a:pPr algn="ctr">
                        <a:defRPr lang="en-US" sz="900" b="1" i="1" u="none" strike="noStrike" kern="1200" baseline="0">
                          <a:solidFill>
                            <a:schemeClr val="tx1">
                              <a:lumMod val="65000"/>
                              <a:lumOff val="35000"/>
                            </a:schemeClr>
                          </a:solidFill>
                          <a:latin typeface="+mn-lt"/>
                          <a:ea typeface="+mn-ea"/>
                          <a:cs typeface="+mn-cs"/>
                        </a:defRPr>
                      </a:pPr>
                      <a:t>[VALUE]</a:t>
                    </a:fld>
                    <a:endParaRPr lang="en-US" sz="1200" b="1" i="1" u="none" strike="noStrike" kern="1200" baseline="0">
                      <a:solidFill>
                        <a:schemeClr val="tx1">
                          <a:lumMod val="65000"/>
                          <a:lumOff val="35000"/>
                        </a:schemeClr>
                      </a:solidFill>
                      <a:latin typeface="+mn-lt"/>
                      <a:ea typeface="+mn-ea"/>
                      <a:cs typeface="+mn-cs"/>
                    </a:endParaRPr>
                  </a:p>
                </c:rich>
              </c:tx>
              <c:spPr>
                <a:noFill/>
                <a:ln>
                  <a:noFill/>
                </a:ln>
                <a:effectLst/>
              </c:spPr>
              <c:txPr>
                <a:bodyPr rot="0" spcFirstLastPara="1" vertOverflow="ellipsis" vert="horz" wrap="square" lIns="38100" tIns="19050" rIns="38100" bIns="19050" anchor="ctr" anchorCtr="0">
                  <a:spAutoFit/>
                </a:bodyPr>
                <a:lstStyle/>
                <a:p>
                  <a:pPr algn="ctr">
                    <a:defRPr lang="en-US" sz="900" b="1" i="1"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E99-4DC7-9BC4-E658D8DEA46F}"/>
                </c:ext>
              </c:extLst>
            </c:dLbl>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PivotTables!$N$4:$N$6</c:f>
              <c:strCache>
                <c:ptCount val="2"/>
                <c:pt idx="0">
                  <c:v>Excellent</c:v>
                </c:pt>
                <c:pt idx="1">
                  <c:v>Good</c:v>
                </c:pt>
              </c:strCache>
            </c:strRef>
          </c:cat>
          <c:val>
            <c:numRef>
              <c:f>PivotTables!$O$4:$O$6</c:f>
              <c:numCache>
                <c:formatCode>General</c:formatCode>
                <c:ptCount val="2"/>
                <c:pt idx="0">
                  <c:v>31</c:v>
                </c:pt>
                <c:pt idx="1">
                  <c:v>36</c:v>
                </c:pt>
              </c:numCache>
            </c:numRef>
          </c:val>
          <c:extLst>
            <c:ext xmlns:c16="http://schemas.microsoft.com/office/drawing/2014/chart" uri="{C3380CC4-5D6E-409C-BE32-E72D297353CC}">
              <c16:uniqueId val="{00000006-CE99-4DC7-9BC4-E658D8DEA46F}"/>
            </c:ext>
          </c:extLst>
        </c:ser>
        <c:dLbls>
          <c:dLblPos val="bestFit"/>
          <c:showLegendKey val="0"/>
          <c:showVal val="1"/>
          <c:showCatName val="0"/>
          <c:showSerName val="0"/>
          <c:showPercent val="0"/>
          <c:showBubbleSize val="0"/>
          <c:showLeaderLines val="1"/>
        </c:dLbls>
        <c:firstSliceAng val="21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Study Hours vs Exam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3.7788516135309771E-2"/>
          <c:y val="0.11645289663115962"/>
          <c:w val="0.92353852676250159"/>
          <c:h val="0.81071061179656567"/>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StudentData!$G$2:$G$201</c:f>
              <c:numCache>
                <c:formatCode>General</c:formatCode>
                <c:ptCount val="200"/>
                <c:pt idx="0">
                  <c:v>81</c:v>
                </c:pt>
                <c:pt idx="1">
                  <c:v>90</c:v>
                </c:pt>
                <c:pt idx="2">
                  <c:v>70</c:v>
                </c:pt>
                <c:pt idx="3">
                  <c:v>94</c:v>
                </c:pt>
                <c:pt idx="4">
                  <c:v>78</c:v>
                </c:pt>
                <c:pt idx="5">
                  <c:v>83</c:v>
                </c:pt>
                <c:pt idx="6">
                  <c:v>65</c:v>
                </c:pt>
                <c:pt idx="7">
                  <c:v>92</c:v>
                </c:pt>
                <c:pt idx="8">
                  <c:v>72</c:v>
                </c:pt>
                <c:pt idx="9">
                  <c:v>85</c:v>
                </c:pt>
                <c:pt idx="10">
                  <c:v>75</c:v>
                </c:pt>
                <c:pt idx="11">
                  <c:v>91</c:v>
                </c:pt>
                <c:pt idx="12">
                  <c:v>79</c:v>
                </c:pt>
                <c:pt idx="13">
                  <c:v>84</c:v>
                </c:pt>
                <c:pt idx="14">
                  <c:v>70</c:v>
                </c:pt>
                <c:pt idx="15">
                  <c:v>95</c:v>
                </c:pt>
                <c:pt idx="16">
                  <c:v>77</c:v>
                </c:pt>
                <c:pt idx="17">
                  <c:v>82</c:v>
                </c:pt>
                <c:pt idx="18">
                  <c:v>64</c:v>
                </c:pt>
                <c:pt idx="19">
                  <c:v>89</c:v>
                </c:pt>
                <c:pt idx="20">
                  <c:v>73</c:v>
                </c:pt>
                <c:pt idx="21">
                  <c:v>86</c:v>
                </c:pt>
                <c:pt idx="22">
                  <c:v>78</c:v>
                </c:pt>
                <c:pt idx="23">
                  <c:v>93</c:v>
                </c:pt>
                <c:pt idx="24">
                  <c:v>76</c:v>
                </c:pt>
                <c:pt idx="25">
                  <c:v>84</c:v>
                </c:pt>
                <c:pt idx="26">
                  <c:v>68</c:v>
                </c:pt>
                <c:pt idx="27">
                  <c:v>96</c:v>
                </c:pt>
                <c:pt idx="28">
                  <c:v>81</c:v>
                </c:pt>
                <c:pt idx="29">
                  <c:v>88</c:v>
                </c:pt>
                <c:pt idx="30">
                  <c:v>71</c:v>
                </c:pt>
                <c:pt idx="31">
                  <c:v>91</c:v>
                </c:pt>
                <c:pt idx="32">
                  <c:v>79</c:v>
                </c:pt>
                <c:pt idx="33">
                  <c:v>85</c:v>
                </c:pt>
                <c:pt idx="34">
                  <c:v>74</c:v>
                </c:pt>
                <c:pt idx="35">
                  <c:v>94</c:v>
                </c:pt>
                <c:pt idx="36">
                  <c:v>77</c:v>
                </c:pt>
                <c:pt idx="37">
                  <c:v>83</c:v>
                </c:pt>
                <c:pt idx="38">
                  <c:v>67</c:v>
                </c:pt>
                <c:pt idx="39">
                  <c:v>97</c:v>
                </c:pt>
                <c:pt idx="40">
                  <c:v>83</c:v>
                </c:pt>
                <c:pt idx="41">
                  <c:v>92</c:v>
                </c:pt>
                <c:pt idx="42">
                  <c:v>75</c:v>
                </c:pt>
                <c:pt idx="43">
                  <c:v>87</c:v>
                </c:pt>
                <c:pt idx="44">
                  <c:v>72</c:v>
                </c:pt>
                <c:pt idx="45">
                  <c:v>95</c:v>
                </c:pt>
                <c:pt idx="46">
                  <c:v>80</c:v>
                </c:pt>
                <c:pt idx="47">
                  <c:v>77</c:v>
                </c:pt>
                <c:pt idx="48">
                  <c:v>89</c:v>
                </c:pt>
                <c:pt idx="49">
                  <c:v>93</c:v>
                </c:pt>
                <c:pt idx="50">
                  <c:v>74</c:v>
                </c:pt>
                <c:pt idx="51">
                  <c:v>85</c:v>
                </c:pt>
                <c:pt idx="52">
                  <c:v>79</c:v>
                </c:pt>
                <c:pt idx="53">
                  <c:v>94</c:v>
                </c:pt>
                <c:pt idx="54">
                  <c:v>76</c:v>
                </c:pt>
                <c:pt idx="55">
                  <c:v>88</c:v>
                </c:pt>
                <c:pt idx="56">
                  <c:v>70</c:v>
                </c:pt>
                <c:pt idx="57">
                  <c:v>96</c:v>
                </c:pt>
                <c:pt idx="58">
                  <c:v>82</c:v>
                </c:pt>
                <c:pt idx="59">
                  <c:v>90</c:v>
                </c:pt>
                <c:pt idx="60">
                  <c:v>73</c:v>
                </c:pt>
                <c:pt idx="61">
                  <c:v>91</c:v>
                </c:pt>
                <c:pt idx="62">
                  <c:v>78</c:v>
                </c:pt>
                <c:pt idx="63">
                  <c:v>84</c:v>
                </c:pt>
                <c:pt idx="64">
                  <c:v>71</c:v>
                </c:pt>
                <c:pt idx="65">
                  <c:v>95</c:v>
                </c:pt>
                <c:pt idx="66">
                  <c:v>77</c:v>
                </c:pt>
                <c:pt idx="67">
                  <c:v>87</c:v>
                </c:pt>
                <c:pt idx="68">
                  <c:v>69</c:v>
                </c:pt>
                <c:pt idx="69">
                  <c:v>97</c:v>
                </c:pt>
                <c:pt idx="70">
                  <c:v>81</c:v>
                </c:pt>
                <c:pt idx="71">
                  <c:v>89</c:v>
                </c:pt>
                <c:pt idx="72">
                  <c:v>72</c:v>
                </c:pt>
                <c:pt idx="73">
                  <c:v>92</c:v>
                </c:pt>
                <c:pt idx="74">
                  <c:v>79</c:v>
                </c:pt>
                <c:pt idx="75">
                  <c:v>85</c:v>
                </c:pt>
                <c:pt idx="76">
                  <c:v>74</c:v>
                </c:pt>
                <c:pt idx="77">
                  <c:v>94</c:v>
                </c:pt>
                <c:pt idx="78">
                  <c:v>76</c:v>
                </c:pt>
                <c:pt idx="79">
                  <c:v>88</c:v>
                </c:pt>
                <c:pt idx="80">
                  <c:v>70</c:v>
                </c:pt>
                <c:pt idx="81">
                  <c:v>96</c:v>
                </c:pt>
                <c:pt idx="82">
                  <c:v>82</c:v>
                </c:pt>
                <c:pt idx="83">
                  <c:v>90</c:v>
                </c:pt>
                <c:pt idx="84">
                  <c:v>73</c:v>
                </c:pt>
                <c:pt idx="85">
                  <c:v>91</c:v>
                </c:pt>
                <c:pt idx="86">
                  <c:v>78</c:v>
                </c:pt>
                <c:pt idx="87">
                  <c:v>84</c:v>
                </c:pt>
                <c:pt idx="88">
                  <c:v>71</c:v>
                </c:pt>
                <c:pt idx="89">
                  <c:v>95</c:v>
                </c:pt>
                <c:pt idx="90">
                  <c:v>77</c:v>
                </c:pt>
                <c:pt idx="91">
                  <c:v>87</c:v>
                </c:pt>
                <c:pt idx="92">
                  <c:v>69</c:v>
                </c:pt>
                <c:pt idx="93">
                  <c:v>97</c:v>
                </c:pt>
                <c:pt idx="94">
                  <c:v>81</c:v>
                </c:pt>
                <c:pt idx="95">
                  <c:v>89</c:v>
                </c:pt>
                <c:pt idx="96">
                  <c:v>72</c:v>
                </c:pt>
                <c:pt idx="97">
                  <c:v>92</c:v>
                </c:pt>
                <c:pt idx="98">
                  <c:v>79</c:v>
                </c:pt>
                <c:pt idx="99">
                  <c:v>85</c:v>
                </c:pt>
                <c:pt idx="100">
                  <c:v>74</c:v>
                </c:pt>
                <c:pt idx="101">
                  <c:v>94</c:v>
                </c:pt>
                <c:pt idx="102">
                  <c:v>76</c:v>
                </c:pt>
                <c:pt idx="103">
                  <c:v>88</c:v>
                </c:pt>
                <c:pt idx="104">
                  <c:v>70</c:v>
                </c:pt>
                <c:pt idx="105">
                  <c:v>96</c:v>
                </c:pt>
                <c:pt idx="106">
                  <c:v>82</c:v>
                </c:pt>
                <c:pt idx="107">
                  <c:v>90</c:v>
                </c:pt>
                <c:pt idx="108">
                  <c:v>73</c:v>
                </c:pt>
                <c:pt idx="109">
                  <c:v>91</c:v>
                </c:pt>
                <c:pt idx="110">
                  <c:v>78</c:v>
                </c:pt>
                <c:pt idx="111">
                  <c:v>84</c:v>
                </c:pt>
                <c:pt idx="112">
                  <c:v>71</c:v>
                </c:pt>
                <c:pt idx="113">
                  <c:v>95</c:v>
                </c:pt>
                <c:pt idx="114">
                  <c:v>77</c:v>
                </c:pt>
                <c:pt idx="115">
                  <c:v>87</c:v>
                </c:pt>
                <c:pt idx="116">
                  <c:v>69</c:v>
                </c:pt>
                <c:pt idx="117">
                  <c:v>97</c:v>
                </c:pt>
                <c:pt idx="118">
                  <c:v>81</c:v>
                </c:pt>
                <c:pt idx="119">
                  <c:v>89</c:v>
                </c:pt>
                <c:pt idx="120">
                  <c:v>72</c:v>
                </c:pt>
                <c:pt idx="121">
                  <c:v>92</c:v>
                </c:pt>
                <c:pt idx="122">
                  <c:v>79</c:v>
                </c:pt>
                <c:pt idx="123">
                  <c:v>85</c:v>
                </c:pt>
                <c:pt idx="124">
                  <c:v>74</c:v>
                </c:pt>
                <c:pt idx="125">
                  <c:v>94</c:v>
                </c:pt>
                <c:pt idx="126">
                  <c:v>76</c:v>
                </c:pt>
                <c:pt idx="127">
                  <c:v>88</c:v>
                </c:pt>
                <c:pt idx="128">
                  <c:v>70</c:v>
                </c:pt>
                <c:pt idx="129">
                  <c:v>96</c:v>
                </c:pt>
                <c:pt idx="130">
                  <c:v>82</c:v>
                </c:pt>
                <c:pt idx="131">
                  <c:v>90</c:v>
                </c:pt>
                <c:pt idx="132">
                  <c:v>73</c:v>
                </c:pt>
                <c:pt idx="133">
                  <c:v>91</c:v>
                </c:pt>
                <c:pt idx="134">
                  <c:v>78</c:v>
                </c:pt>
                <c:pt idx="135">
                  <c:v>84</c:v>
                </c:pt>
                <c:pt idx="136">
                  <c:v>71</c:v>
                </c:pt>
                <c:pt idx="137">
                  <c:v>95</c:v>
                </c:pt>
                <c:pt idx="138">
                  <c:v>77</c:v>
                </c:pt>
                <c:pt idx="139">
                  <c:v>87</c:v>
                </c:pt>
                <c:pt idx="140">
                  <c:v>69</c:v>
                </c:pt>
                <c:pt idx="141">
                  <c:v>97</c:v>
                </c:pt>
                <c:pt idx="142">
                  <c:v>81</c:v>
                </c:pt>
                <c:pt idx="143">
                  <c:v>89</c:v>
                </c:pt>
                <c:pt idx="144">
                  <c:v>72</c:v>
                </c:pt>
                <c:pt idx="145">
                  <c:v>92</c:v>
                </c:pt>
                <c:pt idx="146">
                  <c:v>79</c:v>
                </c:pt>
                <c:pt idx="147">
                  <c:v>85</c:v>
                </c:pt>
                <c:pt idx="148">
                  <c:v>74</c:v>
                </c:pt>
                <c:pt idx="149">
                  <c:v>94</c:v>
                </c:pt>
                <c:pt idx="150">
                  <c:v>76</c:v>
                </c:pt>
                <c:pt idx="151">
                  <c:v>88</c:v>
                </c:pt>
                <c:pt idx="152">
                  <c:v>70</c:v>
                </c:pt>
                <c:pt idx="153">
                  <c:v>96</c:v>
                </c:pt>
                <c:pt idx="154">
                  <c:v>82</c:v>
                </c:pt>
                <c:pt idx="155">
                  <c:v>90</c:v>
                </c:pt>
                <c:pt idx="156">
                  <c:v>73</c:v>
                </c:pt>
                <c:pt idx="157">
                  <c:v>91</c:v>
                </c:pt>
                <c:pt idx="158">
                  <c:v>78</c:v>
                </c:pt>
                <c:pt idx="159">
                  <c:v>84</c:v>
                </c:pt>
                <c:pt idx="160">
                  <c:v>71</c:v>
                </c:pt>
                <c:pt idx="161">
                  <c:v>95</c:v>
                </c:pt>
                <c:pt idx="162">
                  <c:v>77</c:v>
                </c:pt>
                <c:pt idx="163">
                  <c:v>87</c:v>
                </c:pt>
                <c:pt idx="164">
                  <c:v>69</c:v>
                </c:pt>
                <c:pt idx="165">
                  <c:v>97</c:v>
                </c:pt>
                <c:pt idx="166">
                  <c:v>81</c:v>
                </c:pt>
                <c:pt idx="167">
                  <c:v>89</c:v>
                </c:pt>
                <c:pt idx="168">
                  <c:v>72</c:v>
                </c:pt>
                <c:pt idx="169">
                  <c:v>92</c:v>
                </c:pt>
                <c:pt idx="170">
                  <c:v>79</c:v>
                </c:pt>
                <c:pt idx="171">
                  <c:v>85</c:v>
                </c:pt>
                <c:pt idx="172">
                  <c:v>74</c:v>
                </c:pt>
                <c:pt idx="173">
                  <c:v>94</c:v>
                </c:pt>
                <c:pt idx="174">
                  <c:v>76</c:v>
                </c:pt>
                <c:pt idx="175">
                  <c:v>88</c:v>
                </c:pt>
                <c:pt idx="176">
                  <c:v>70</c:v>
                </c:pt>
                <c:pt idx="177">
                  <c:v>96</c:v>
                </c:pt>
                <c:pt idx="178">
                  <c:v>82</c:v>
                </c:pt>
                <c:pt idx="179">
                  <c:v>90</c:v>
                </c:pt>
                <c:pt idx="180">
                  <c:v>73</c:v>
                </c:pt>
                <c:pt idx="181">
                  <c:v>91</c:v>
                </c:pt>
                <c:pt idx="182">
                  <c:v>78</c:v>
                </c:pt>
                <c:pt idx="183">
                  <c:v>84</c:v>
                </c:pt>
                <c:pt idx="184">
                  <c:v>71</c:v>
                </c:pt>
                <c:pt idx="185">
                  <c:v>95</c:v>
                </c:pt>
                <c:pt idx="186">
                  <c:v>77</c:v>
                </c:pt>
                <c:pt idx="187">
                  <c:v>87</c:v>
                </c:pt>
                <c:pt idx="188">
                  <c:v>69</c:v>
                </c:pt>
                <c:pt idx="189">
                  <c:v>97</c:v>
                </c:pt>
                <c:pt idx="190">
                  <c:v>81</c:v>
                </c:pt>
                <c:pt idx="191">
                  <c:v>89</c:v>
                </c:pt>
                <c:pt idx="192">
                  <c:v>72</c:v>
                </c:pt>
                <c:pt idx="193">
                  <c:v>92</c:v>
                </c:pt>
                <c:pt idx="194">
                  <c:v>79</c:v>
                </c:pt>
                <c:pt idx="195">
                  <c:v>85</c:v>
                </c:pt>
                <c:pt idx="196">
                  <c:v>74</c:v>
                </c:pt>
                <c:pt idx="197">
                  <c:v>94</c:v>
                </c:pt>
                <c:pt idx="198">
                  <c:v>76</c:v>
                </c:pt>
                <c:pt idx="199">
                  <c:v>88</c:v>
                </c:pt>
              </c:numCache>
            </c:numRef>
          </c:xVal>
          <c:yVal>
            <c:numRef>
              <c:f>StudentData!$H$2:$H$201</c:f>
              <c:numCache>
                <c:formatCode>General</c:formatCode>
                <c:ptCount val="200"/>
                <c:pt idx="0">
                  <c:v>3</c:v>
                </c:pt>
                <c:pt idx="1">
                  <c:v>4</c:v>
                </c:pt>
                <c:pt idx="2">
                  <c:v>2</c:v>
                </c:pt>
                <c:pt idx="3">
                  <c:v>5</c:v>
                </c:pt>
                <c:pt idx="4">
                  <c:v>3</c:v>
                </c:pt>
                <c:pt idx="5">
                  <c:v>4</c:v>
                </c:pt>
                <c:pt idx="6">
                  <c:v>2</c:v>
                </c:pt>
                <c:pt idx="7">
                  <c:v>5</c:v>
                </c:pt>
                <c:pt idx="8">
                  <c:v>2</c:v>
                </c:pt>
                <c:pt idx="9">
                  <c:v>4</c:v>
                </c:pt>
                <c:pt idx="10">
                  <c:v>3</c:v>
                </c:pt>
                <c:pt idx="11">
                  <c:v>5</c:v>
                </c:pt>
                <c:pt idx="12">
                  <c:v>3</c:v>
                </c:pt>
                <c:pt idx="13">
                  <c:v>4</c:v>
                </c:pt>
                <c:pt idx="14">
                  <c:v>2</c:v>
                </c:pt>
                <c:pt idx="15">
                  <c:v>5</c:v>
                </c:pt>
                <c:pt idx="16">
                  <c:v>3</c:v>
                </c:pt>
                <c:pt idx="17">
                  <c:v>4</c:v>
                </c:pt>
                <c:pt idx="18">
                  <c:v>2</c:v>
                </c:pt>
                <c:pt idx="19">
                  <c:v>5</c:v>
                </c:pt>
                <c:pt idx="20">
                  <c:v>2</c:v>
                </c:pt>
                <c:pt idx="21">
                  <c:v>4</c:v>
                </c:pt>
                <c:pt idx="22">
                  <c:v>3</c:v>
                </c:pt>
                <c:pt idx="23">
                  <c:v>5</c:v>
                </c:pt>
                <c:pt idx="24">
                  <c:v>3</c:v>
                </c:pt>
                <c:pt idx="25">
                  <c:v>4</c:v>
                </c:pt>
                <c:pt idx="26">
                  <c:v>2</c:v>
                </c:pt>
                <c:pt idx="27">
                  <c:v>5</c:v>
                </c:pt>
                <c:pt idx="28">
                  <c:v>3</c:v>
                </c:pt>
                <c:pt idx="29">
                  <c:v>4</c:v>
                </c:pt>
                <c:pt idx="30">
                  <c:v>2</c:v>
                </c:pt>
                <c:pt idx="31">
                  <c:v>5</c:v>
                </c:pt>
                <c:pt idx="32">
                  <c:v>3</c:v>
                </c:pt>
                <c:pt idx="33">
                  <c:v>4</c:v>
                </c:pt>
                <c:pt idx="34">
                  <c:v>3</c:v>
                </c:pt>
                <c:pt idx="35">
                  <c:v>5</c:v>
                </c:pt>
                <c:pt idx="36">
                  <c:v>3</c:v>
                </c:pt>
                <c:pt idx="37">
                  <c:v>4</c:v>
                </c:pt>
                <c:pt idx="38">
                  <c:v>2</c:v>
                </c:pt>
                <c:pt idx="39">
                  <c:v>5</c:v>
                </c:pt>
                <c:pt idx="40">
                  <c:v>4</c:v>
                </c:pt>
                <c:pt idx="41">
                  <c:v>5</c:v>
                </c:pt>
                <c:pt idx="42">
                  <c:v>3</c:v>
                </c:pt>
                <c:pt idx="43">
                  <c:v>4</c:v>
                </c:pt>
                <c:pt idx="44">
                  <c:v>2</c:v>
                </c:pt>
                <c:pt idx="45">
                  <c:v>5</c:v>
                </c:pt>
                <c:pt idx="46">
                  <c:v>3</c:v>
                </c:pt>
                <c:pt idx="47">
                  <c:v>3</c:v>
                </c:pt>
                <c:pt idx="48">
                  <c:v>4</c:v>
                </c:pt>
                <c:pt idx="49">
                  <c:v>5</c:v>
                </c:pt>
                <c:pt idx="50">
                  <c:v>2</c:v>
                </c:pt>
                <c:pt idx="51">
                  <c:v>4</c:v>
                </c:pt>
                <c:pt idx="52">
                  <c:v>3</c:v>
                </c:pt>
                <c:pt idx="53">
                  <c:v>5</c:v>
                </c:pt>
                <c:pt idx="54">
                  <c:v>3</c:v>
                </c:pt>
                <c:pt idx="55">
                  <c:v>4</c:v>
                </c:pt>
                <c:pt idx="56">
                  <c:v>2</c:v>
                </c:pt>
                <c:pt idx="57">
                  <c:v>5</c:v>
                </c:pt>
                <c:pt idx="58">
                  <c:v>3</c:v>
                </c:pt>
                <c:pt idx="59">
                  <c:v>4</c:v>
                </c:pt>
                <c:pt idx="60">
                  <c:v>2</c:v>
                </c:pt>
                <c:pt idx="61">
                  <c:v>5</c:v>
                </c:pt>
                <c:pt idx="62">
                  <c:v>3</c:v>
                </c:pt>
                <c:pt idx="63">
                  <c:v>4</c:v>
                </c:pt>
                <c:pt idx="64">
                  <c:v>2</c:v>
                </c:pt>
                <c:pt idx="65">
                  <c:v>5</c:v>
                </c:pt>
                <c:pt idx="66">
                  <c:v>3</c:v>
                </c:pt>
                <c:pt idx="67">
                  <c:v>4</c:v>
                </c:pt>
                <c:pt idx="68">
                  <c:v>2</c:v>
                </c:pt>
                <c:pt idx="69">
                  <c:v>5</c:v>
                </c:pt>
                <c:pt idx="70">
                  <c:v>3</c:v>
                </c:pt>
                <c:pt idx="71">
                  <c:v>4</c:v>
                </c:pt>
                <c:pt idx="72">
                  <c:v>2</c:v>
                </c:pt>
                <c:pt idx="73">
                  <c:v>5</c:v>
                </c:pt>
                <c:pt idx="74">
                  <c:v>3</c:v>
                </c:pt>
                <c:pt idx="75">
                  <c:v>4</c:v>
                </c:pt>
                <c:pt idx="76">
                  <c:v>3</c:v>
                </c:pt>
                <c:pt idx="77">
                  <c:v>5</c:v>
                </c:pt>
                <c:pt idx="78">
                  <c:v>3</c:v>
                </c:pt>
                <c:pt idx="79">
                  <c:v>4</c:v>
                </c:pt>
                <c:pt idx="80">
                  <c:v>2</c:v>
                </c:pt>
                <c:pt idx="81">
                  <c:v>5</c:v>
                </c:pt>
                <c:pt idx="82">
                  <c:v>3</c:v>
                </c:pt>
                <c:pt idx="83">
                  <c:v>4</c:v>
                </c:pt>
                <c:pt idx="84">
                  <c:v>2</c:v>
                </c:pt>
                <c:pt idx="85">
                  <c:v>5</c:v>
                </c:pt>
                <c:pt idx="86">
                  <c:v>3</c:v>
                </c:pt>
                <c:pt idx="87">
                  <c:v>4</c:v>
                </c:pt>
                <c:pt idx="88">
                  <c:v>2</c:v>
                </c:pt>
                <c:pt idx="89">
                  <c:v>5</c:v>
                </c:pt>
                <c:pt idx="90">
                  <c:v>3</c:v>
                </c:pt>
                <c:pt idx="91">
                  <c:v>4</c:v>
                </c:pt>
                <c:pt idx="92">
                  <c:v>2</c:v>
                </c:pt>
                <c:pt idx="93">
                  <c:v>5</c:v>
                </c:pt>
                <c:pt idx="94">
                  <c:v>3</c:v>
                </c:pt>
                <c:pt idx="95">
                  <c:v>4</c:v>
                </c:pt>
                <c:pt idx="96">
                  <c:v>2</c:v>
                </c:pt>
                <c:pt idx="97">
                  <c:v>5</c:v>
                </c:pt>
                <c:pt idx="98">
                  <c:v>3</c:v>
                </c:pt>
                <c:pt idx="99">
                  <c:v>4</c:v>
                </c:pt>
                <c:pt idx="100">
                  <c:v>3</c:v>
                </c:pt>
                <c:pt idx="101">
                  <c:v>5</c:v>
                </c:pt>
                <c:pt idx="102">
                  <c:v>3</c:v>
                </c:pt>
                <c:pt idx="103">
                  <c:v>4</c:v>
                </c:pt>
                <c:pt idx="104">
                  <c:v>2</c:v>
                </c:pt>
                <c:pt idx="105">
                  <c:v>5</c:v>
                </c:pt>
                <c:pt idx="106">
                  <c:v>3</c:v>
                </c:pt>
                <c:pt idx="107">
                  <c:v>4</c:v>
                </c:pt>
                <c:pt idx="108">
                  <c:v>2</c:v>
                </c:pt>
                <c:pt idx="109">
                  <c:v>5</c:v>
                </c:pt>
                <c:pt idx="110">
                  <c:v>3</c:v>
                </c:pt>
                <c:pt idx="111">
                  <c:v>4</c:v>
                </c:pt>
                <c:pt idx="112">
                  <c:v>2</c:v>
                </c:pt>
                <c:pt idx="113">
                  <c:v>5</c:v>
                </c:pt>
                <c:pt idx="114">
                  <c:v>3</c:v>
                </c:pt>
                <c:pt idx="115">
                  <c:v>4</c:v>
                </c:pt>
                <c:pt idx="116">
                  <c:v>2</c:v>
                </c:pt>
                <c:pt idx="117">
                  <c:v>5</c:v>
                </c:pt>
                <c:pt idx="118">
                  <c:v>3</c:v>
                </c:pt>
                <c:pt idx="119">
                  <c:v>4</c:v>
                </c:pt>
                <c:pt idx="120">
                  <c:v>2</c:v>
                </c:pt>
                <c:pt idx="121">
                  <c:v>5</c:v>
                </c:pt>
                <c:pt idx="122">
                  <c:v>3</c:v>
                </c:pt>
                <c:pt idx="123">
                  <c:v>4</c:v>
                </c:pt>
                <c:pt idx="124">
                  <c:v>3</c:v>
                </c:pt>
                <c:pt idx="125">
                  <c:v>5</c:v>
                </c:pt>
                <c:pt idx="126">
                  <c:v>3</c:v>
                </c:pt>
                <c:pt idx="127">
                  <c:v>4</c:v>
                </c:pt>
                <c:pt idx="128">
                  <c:v>2</c:v>
                </c:pt>
                <c:pt idx="129">
                  <c:v>5</c:v>
                </c:pt>
                <c:pt idx="130">
                  <c:v>3</c:v>
                </c:pt>
                <c:pt idx="131">
                  <c:v>4</c:v>
                </c:pt>
                <c:pt idx="132">
                  <c:v>2</c:v>
                </c:pt>
                <c:pt idx="133">
                  <c:v>5</c:v>
                </c:pt>
                <c:pt idx="134">
                  <c:v>3</c:v>
                </c:pt>
                <c:pt idx="135">
                  <c:v>4</c:v>
                </c:pt>
                <c:pt idx="136">
                  <c:v>2</c:v>
                </c:pt>
                <c:pt idx="137">
                  <c:v>5</c:v>
                </c:pt>
                <c:pt idx="138">
                  <c:v>3</c:v>
                </c:pt>
                <c:pt idx="139">
                  <c:v>4</c:v>
                </c:pt>
                <c:pt idx="140">
                  <c:v>2</c:v>
                </c:pt>
                <c:pt idx="141">
                  <c:v>5</c:v>
                </c:pt>
                <c:pt idx="142">
                  <c:v>3</c:v>
                </c:pt>
                <c:pt idx="143">
                  <c:v>4</c:v>
                </c:pt>
                <c:pt idx="144">
                  <c:v>2</c:v>
                </c:pt>
                <c:pt idx="145">
                  <c:v>5</c:v>
                </c:pt>
                <c:pt idx="146">
                  <c:v>3</c:v>
                </c:pt>
                <c:pt idx="147">
                  <c:v>4</c:v>
                </c:pt>
                <c:pt idx="148">
                  <c:v>3</c:v>
                </c:pt>
                <c:pt idx="149">
                  <c:v>5</c:v>
                </c:pt>
                <c:pt idx="150">
                  <c:v>3</c:v>
                </c:pt>
                <c:pt idx="151">
                  <c:v>4</c:v>
                </c:pt>
                <c:pt idx="152">
                  <c:v>2</c:v>
                </c:pt>
                <c:pt idx="153">
                  <c:v>5</c:v>
                </c:pt>
                <c:pt idx="154">
                  <c:v>3</c:v>
                </c:pt>
                <c:pt idx="155">
                  <c:v>4</c:v>
                </c:pt>
                <c:pt idx="156">
                  <c:v>2</c:v>
                </c:pt>
                <c:pt idx="157">
                  <c:v>5</c:v>
                </c:pt>
                <c:pt idx="158">
                  <c:v>3</c:v>
                </c:pt>
                <c:pt idx="159">
                  <c:v>4</c:v>
                </c:pt>
                <c:pt idx="160">
                  <c:v>2</c:v>
                </c:pt>
                <c:pt idx="161">
                  <c:v>5</c:v>
                </c:pt>
                <c:pt idx="162">
                  <c:v>3</c:v>
                </c:pt>
                <c:pt idx="163">
                  <c:v>4</c:v>
                </c:pt>
                <c:pt idx="164">
                  <c:v>2</c:v>
                </c:pt>
                <c:pt idx="165">
                  <c:v>5</c:v>
                </c:pt>
                <c:pt idx="166">
                  <c:v>3</c:v>
                </c:pt>
                <c:pt idx="167">
                  <c:v>4</c:v>
                </c:pt>
                <c:pt idx="168">
                  <c:v>2</c:v>
                </c:pt>
                <c:pt idx="169">
                  <c:v>5</c:v>
                </c:pt>
                <c:pt idx="170">
                  <c:v>3</c:v>
                </c:pt>
                <c:pt idx="171">
                  <c:v>4</c:v>
                </c:pt>
                <c:pt idx="172">
                  <c:v>3</c:v>
                </c:pt>
                <c:pt idx="173">
                  <c:v>5</c:v>
                </c:pt>
                <c:pt idx="174">
                  <c:v>3</c:v>
                </c:pt>
                <c:pt idx="175">
                  <c:v>4</c:v>
                </c:pt>
                <c:pt idx="176">
                  <c:v>2</c:v>
                </c:pt>
                <c:pt idx="177">
                  <c:v>5</c:v>
                </c:pt>
                <c:pt idx="178">
                  <c:v>3</c:v>
                </c:pt>
                <c:pt idx="179">
                  <c:v>4</c:v>
                </c:pt>
                <c:pt idx="180">
                  <c:v>2</c:v>
                </c:pt>
                <c:pt idx="181">
                  <c:v>5</c:v>
                </c:pt>
                <c:pt idx="182">
                  <c:v>3</c:v>
                </c:pt>
                <c:pt idx="183">
                  <c:v>4</c:v>
                </c:pt>
                <c:pt idx="184">
                  <c:v>2</c:v>
                </c:pt>
                <c:pt idx="185">
                  <c:v>5</c:v>
                </c:pt>
                <c:pt idx="186">
                  <c:v>3</c:v>
                </c:pt>
                <c:pt idx="187">
                  <c:v>4</c:v>
                </c:pt>
                <c:pt idx="188">
                  <c:v>2</c:v>
                </c:pt>
                <c:pt idx="189">
                  <c:v>5</c:v>
                </c:pt>
                <c:pt idx="190">
                  <c:v>3</c:v>
                </c:pt>
                <c:pt idx="191">
                  <c:v>4</c:v>
                </c:pt>
                <c:pt idx="192">
                  <c:v>2</c:v>
                </c:pt>
                <c:pt idx="193">
                  <c:v>5</c:v>
                </c:pt>
                <c:pt idx="194">
                  <c:v>3</c:v>
                </c:pt>
                <c:pt idx="195">
                  <c:v>4</c:v>
                </c:pt>
                <c:pt idx="196">
                  <c:v>3</c:v>
                </c:pt>
                <c:pt idx="197">
                  <c:v>5</c:v>
                </c:pt>
                <c:pt idx="198">
                  <c:v>3</c:v>
                </c:pt>
                <c:pt idx="199">
                  <c:v>4</c:v>
                </c:pt>
              </c:numCache>
            </c:numRef>
          </c:yVal>
          <c:smooth val="0"/>
          <c:extLst>
            <c:ext xmlns:c16="http://schemas.microsoft.com/office/drawing/2014/chart" uri="{C3380CC4-5D6E-409C-BE32-E72D297353CC}">
              <c16:uniqueId val="{00000000-4B52-4042-9E00-D91C8EB174BA}"/>
            </c:ext>
          </c:extLst>
        </c:ser>
        <c:dLbls>
          <c:dLblPos val="t"/>
          <c:showLegendKey val="0"/>
          <c:showVal val="1"/>
          <c:showCatName val="0"/>
          <c:showSerName val="0"/>
          <c:showPercent val="0"/>
          <c:showBubbleSize val="0"/>
        </c:dLbls>
        <c:axId val="2022913311"/>
        <c:axId val="2022913791"/>
      </c:scatterChart>
      <c:valAx>
        <c:axId val="202291331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13791"/>
        <c:crosses val="autoZero"/>
        <c:crossBetween val="midCat"/>
      </c:valAx>
      <c:valAx>
        <c:axId val="202291379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91331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690257</xdr:colOff>
      <xdr:row>16</xdr:row>
      <xdr:rowOff>21330</xdr:rowOff>
    </xdr:from>
    <xdr:to>
      <xdr:col>17</xdr:col>
      <xdr:colOff>619125</xdr:colOff>
      <xdr:row>35</xdr:row>
      <xdr:rowOff>9523</xdr:rowOff>
    </xdr:to>
    <xdr:graphicFrame macro="">
      <xdr:nvGraphicFramePr>
        <xdr:cNvPr id="2" name="Chart 1">
          <a:extLst>
            <a:ext uri="{FF2B5EF4-FFF2-40B4-BE49-F238E27FC236}">
              <a16:creationId xmlns:a16="http://schemas.microsoft.com/office/drawing/2014/main" id="{5038D4FE-DCEB-44CD-AF33-1995BE5B0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221974</xdr:colOff>
      <xdr:row>16</xdr:row>
      <xdr:rowOff>28161</xdr:rowOff>
    </xdr:from>
    <xdr:to>
      <xdr:col>29</xdr:col>
      <xdr:colOff>247650</xdr:colOff>
      <xdr:row>35</xdr:row>
      <xdr:rowOff>38099</xdr:rowOff>
    </xdr:to>
    <xdr:graphicFrame macro="">
      <xdr:nvGraphicFramePr>
        <xdr:cNvPr id="3" name="Chart 2">
          <a:extLst>
            <a:ext uri="{FF2B5EF4-FFF2-40B4-BE49-F238E27FC236}">
              <a16:creationId xmlns:a16="http://schemas.microsoft.com/office/drawing/2014/main" id="{BD346FEF-1D81-4023-8CF7-B7428A8AF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651442</xdr:colOff>
      <xdr:row>36</xdr:row>
      <xdr:rowOff>9525</xdr:rowOff>
    </xdr:from>
    <xdr:to>
      <xdr:col>17</xdr:col>
      <xdr:colOff>581025</xdr:colOff>
      <xdr:row>56</xdr:row>
      <xdr:rowOff>123824</xdr:rowOff>
    </xdr:to>
    <xdr:graphicFrame macro="">
      <xdr:nvGraphicFramePr>
        <xdr:cNvPr id="4" name="Chart 3">
          <a:extLst>
            <a:ext uri="{FF2B5EF4-FFF2-40B4-BE49-F238E27FC236}">
              <a16:creationId xmlns:a16="http://schemas.microsoft.com/office/drawing/2014/main" id="{DF7FD95C-2260-465E-973E-E9C78D661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212035</xdr:colOff>
      <xdr:row>36</xdr:row>
      <xdr:rowOff>19050</xdr:rowOff>
    </xdr:from>
    <xdr:to>
      <xdr:col>29</xdr:col>
      <xdr:colOff>219075</xdr:colOff>
      <xdr:row>56</xdr:row>
      <xdr:rowOff>114300</xdr:rowOff>
    </xdr:to>
    <xdr:graphicFrame macro="">
      <xdr:nvGraphicFramePr>
        <xdr:cNvPr id="5" name="Chart 4">
          <a:extLst>
            <a:ext uri="{FF2B5EF4-FFF2-40B4-BE49-F238E27FC236}">
              <a16:creationId xmlns:a16="http://schemas.microsoft.com/office/drawing/2014/main" id="{FC424642-00CC-4864-9E4B-762E030C8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552451</xdr:colOff>
      <xdr:row>36</xdr:row>
      <xdr:rowOff>11559</xdr:rowOff>
    </xdr:from>
    <xdr:to>
      <xdr:col>8</xdr:col>
      <xdr:colOff>619125</xdr:colOff>
      <xdr:row>56</xdr:row>
      <xdr:rowOff>133350</xdr:rowOff>
    </xdr:to>
    <xdr:graphicFrame macro="">
      <xdr:nvGraphicFramePr>
        <xdr:cNvPr id="6" name="Chart 5">
          <a:extLst>
            <a:ext uri="{FF2B5EF4-FFF2-40B4-BE49-F238E27FC236}">
              <a16:creationId xmlns:a16="http://schemas.microsoft.com/office/drawing/2014/main" id="{D7996ED7-D654-48D5-AA0B-14D0E3135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72473</xdr:colOff>
      <xdr:row>62</xdr:row>
      <xdr:rowOff>23252</xdr:rowOff>
    </xdr:from>
    <xdr:to>
      <xdr:col>23</xdr:col>
      <xdr:colOff>428587</xdr:colOff>
      <xdr:row>84</xdr:row>
      <xdr:rowOff>103715</xdr:rowOff>
    </xdr:to>
    <xdr:graphicFrame macro="">
      <xdr:nvGraphicFramePr>
        <xdr:cNvPr id="7" name="Chart 6">
          <a:extLst>
            <a:ext uri="{FF2B5EF4-FFF2-40B4-BE49-F238E27FC236}">
              <a16:creationId xmlns:a16="http://schemas.microsoft.com/office/drawing/2014/main" id="{746CE0F5-C52E-44A3-8F11-0ED020AB4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538228</xdr:colOff>
      <xdr:row>9</xdr:row>
      <xdr:rowOff>135957</xdr:rowOff>
    </xdr:from>
    <xdr:to>
      <xdr:col>8</xdr:col>
      <xdr:colOff>516585</xdr:colOff>
      <xdr:row>20</xdr:row>
      <xdr:rowOff>161371</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43039DCA-576E-47B0-A819-009BF241D07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37092" y="1772526"/>
              <a:ext cx="3874948" cy="202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547104</xdr:colOff>
      <xdr:row>30</xdr:row>
      <xdr:rowOff>11865</xdr:rowOff>
    </xdr:from>
    <xdr:to>
      <xdr:col>8</xdr:col>
      <xdr:colOff>555626</xdr:colOff>
      <xdr:row>35</xdr:row>
      <xdr:rowOff>10072</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ECAF7DF4-6428-C734-BD65-A6D1BF903BC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45968" y="5467092"/>
              <a:ext cx="3905113" cy="907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517719</xdr:colOff>
      <xdr:row>22</xdr:row>
      <xdr:rowOff>96158</xdr:rowOff>
    </xdr:from>
    <xdr:to>
      <xdr:col>8</xdr:col>
      <xdr:colOff>524849</xdr:colOff>
      <xdr:row>27</xdr:row>
      <xdr:rowOff>143555</xdr:rowOff>
    </xdr:to>
    <mc:AlternateContent xmlns:mc="http://schemas.openxmlformats.org/markup-compatibility/2006">
      <mc:Choice xmlns:a14="http://schemas.microsoft.com/office/drawing/2010/main" Requires="a14">
        <xdr:graphicFrame macro="">
          <xdr:nvGraphicFramePr>
            <xdr:cNvPr id="12" name="Subject">
              <a:extLst>
                <a:ext uri="{FF2B5EF4-FFF2-40B4-BE49-F238E27FC236}">
                  <a16:creationId xmlns:a16="http://schemas.microsoft.com/office/drawing/2014/main" id="{C09BC943-0652-B06D-1AEB-5BEA957A5E5B}"/>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1816583" y="4096658"/>
              <a:ext cx="3903721" cy="956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597477</xdr:colOff>
      <xdr:row>1</xdr:row>
      <xdr:rowOff>51952</xdr:rowOff>
    </xdr:from>
    <xdr:to>
      <xdr:col>29</xdr:col>
      <xdr:colOff>268431</xdr:colOff>
      <xdr:row>8</xdr:row>
      <xdr:rowOff>8659</xdr:rowOff>
    </xdr:to>
    <xdr:sp macro="" textlink="">
      <xdr:nvSpPr>
        <xdr:cNvPr id="14" name="Rectangle: Diagonal Corners Rounded 13">
          <a:extLst>
            <a:ext uri="{FF2B5EF4-FFF2-40B4-BE49-F238E27FC236}">
              <a16:creationId xmlns:a16="http://schemas.microsoft.com/office/drawing/2014/main" id="{A6D076E8-1CBF-2FDD-BCFA-51A800263291}"/>
            </a:ext>
          </a:extLst>
        </xdr:cNvPr>
        <xdr:cNvSpPr/>
      </xdr:nvSpPr>
      <xdr:spPr>
        <a:xfrm>
          <a:off x="1896341" y="233794"/>
          <a:ext cx="18071523" cy="1229592"/>
        </a:xfrm>
        <a:prstGeom prst="round2DiagRect">
          <a:avLst/>
        </a:prstGeom>
        <a:gradFill>
          <a:gsLst>
            <a:gs pos="0">
              <a:schemeClr val="accent2">
                <a:satMod val="103000"/>
                <a:lumMod val="102000"/>
                <a:tint val="94000"/>
                <a:alpha val="98000"/>
              </a:schemeClr>
            </a:gs>
            <a:gs pos="50000">
              <a:schemeClr val="accent2">
                <a:satMod val="110000"/>
                <a:lumMod val="100000"/>
                <a:shade val="100000"/>
              </a:schemeClr>
            </a:gs>
            <a:gs pos="100000">
              <a:schemeClr val="accent2">
                <a:lumMod val="99000"/>
                <a:satMod val="120000"/>
                <a:shade val="78000"/>
              </a:schemeClr>
            </a:gs>
          </a:gsLst>
        </a:gradFill>
        <a:ln>
          <a:solidFill>
            <a:schemeClr val="accent2">
              <a:lumMod val="50000"/>
            </a:schemeClr>
          </a:solidFill>
        </a:ln>
        <a:effectLst>
          <a:outerShdw blurRad="50800" dist="88900" dir="4440000" sx="101000" sy="101000" algn="ctr" rotWithShape="0">
            <a:schemeClr val="tx1">
              <a:lumMod val="50000"/>
              <a:lumOff val="50000"/>
              <a:alpha val="99000"/>
            </a:scheme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23333</xdr:colOff>
      <xdr:row>0</xdr:row>
      <xdr:rowOff>126352</xdr:rowOff>
    </xdr:from>
    <xdr:to>
      <xdr:col>28</xdr:col>
      <xdr:colOff>296528</xdr:colOff>
      <xdr:row>9</xdr:row>
      <xdr:rowOff>1</xdr:rowOff>
    </xdr:to>
    <xdr:pic>
      <xdr:nvPicPr>
        <xdr:cNvPr id="15" name="Picture 14">
          <a:extLst>
            <a:ext uri="{FF2B5EF4-FFF2-40B4-BE49-F238E27FC236}">
              <a16:creationId xmlns:a16="http://schemas.microsoft.com/office/drawing/2014/main" id="{2B3B16CC-46FF-9F68-416A-0B766108CC88}"/>
            </a:ext>
          </a:extLst>
        </xdr:cNvPr>
        <xdr:cNvPicPr>
          <a:picLocks noChangeAspect="1"/>
        </xdr:cNvPicPr>
      </xdr:nvPicPr>
      <xdr:blipFill>
        <a:blip xmlns:r="http://schemas.openxmlformats.org/officeDocument/2006/relationships" r:embed="rId7"/>
        <a:stretch>
          <a:fillRect/>
        </a:stretch>
      </xdr:blipFill>
      <xdr:spPr>
        <a:xfrm>
          <a:off x="2628129" y="126352"/>
          <a:ext cx="16757277" cy="1535665"/>
        </a:xfrm>
        <a:prstGeom prst="rect">
          <a:avLst/>
        </a:prstGeom>
        <a:ln>
          <a:noFill/>
        </a:ln>
        <a:effectLst>
          <a:outerShdw blurRad="50800" dist="38100" dir="2700000" algn="tl" rotWithShape="0">
            <a:prstClr val="black">
              <a:alpha val="40000"/>
            </a:prstClr>
          </a:outerShdw>
        </a:effectLst>
      </xdr:spPr>
    </xdr:pic>
    <xdr:clientData/>
  </xdr:twoCellAnchor>
  <xdr:twoCellAnchor>
    <xdr:from>
      <xdr:col>8</xdr:col>
      <xdr:colOff>635116</xdr:colOff>
      <xdr:row>9</xdr:row>
      <xdr:rowOff>89772</xdr:rowOff>
    </xdr:from>
    <xdr:to>
      <xdr:col>29</xdr:col>
      <xdr:colOff>320737</xdr:colOff>
      <xdr:row>15</xdr:row>
      <xdr:rowOff>-1</xdr:rowOff>
    </xdr:to>
    <xdr:sp macro="" textlink="">
      <xdr:nvSpPr>
        <xdr:cNvPr id="16" name="Rectangle: Rounded Corners 15">
          <a:extLst>
            <a:ext uri="{FF2B5EF4-FFF2-40B4-BE49-F238E27FC236}">
              <a16:creationId xmlns:a16="http://schemas.microsoft.com/office/drawing/2014/main" id="{BAB3FBAF-B366-9390-690D-DEBBAFC77E71}"/>
            </a:ext>
          </a:extLst>
        </xdr:cNvPr>
        <xdr:cNvSpPr/>
      </xdr:nvSpPr>
      <xdr:spPr>
        <a:xfrm>
          <a:off x="5844708" y="1751788"/>
          <a:ext cx="14216107" cy="1018238"/>
        </a:xfrm>
        <a:prstGeom prst="roundRect">
          <a:avLst/>
        </a:prstGeom>
        <a:solidFill>
          <a:schemeClr val="accent1">
            <a:lumMod val="20000"/>
            <a:lumOff val="80000"/>
          </a:schemeClr>
        </a:solidFill>
        <a:effectLst>
          <a:outerShdw blurRad="101600" dist="127000" dir="4800000" sx="102000" sy="102000" algn="tl"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527443</xdr:colOff>
      <xdr:row>10</xdr:row>
      <xdr:rowOff>22768</xdr:rowOff>
    </xdr:from>
    <xdr:to>
      <xdr:col>17</xdr:col>
      <xdr:colOff>489393</xdr:colOff>
      <xdr:row>14</xdr:row>
      <xdr:rowOff>84727</xdr:rowOff>
    </xdr:to>
    <xdr:sp macro="" textlink="">
      <xdr:nvSpPr>
        <xdr:cNvPr id="23" name="Arrow: Chevron 22">
          <a:extLst>
            <a:ext uri="{FF2B5EF4-FFF2-40B4-BE49-F238E27FC236}">
              <a16:creationId xmlns:a16="http://schemas.microsoft.com/office/drawing/2014/main" id="{FB3B4C45-25DF-3699-FE18-82B0C974FFAD}"/>
            </a:ext>
          </a:extLst>
        </xdr:cNvPr>
        <xdr:cNvSpPr/>
      </xdr:nvSpPr>
      <xdr:spPr>
        <a:xfrm>
          <a:off x="10052443" y="1808706"/>
          <a:ext cx="2331294" cy="776334"/>
        </a:xfrm>
        <a:prstGeom prst="chevron">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423848</xdr:colOff>
      <xdr:row>10</xdr:row>
      <xdr:rowOff>26340</xdr:rowOff>
    </xdr:from>
    <xdr:to>
      <xdr:col>23</xdr:col>
      <xdr:colOff>159579</xdr:colOff>
      <xdr:row>14</xdr:row>
      <xdr:rowOff>88299</xdr:rowOff>
    </xdr:to>
    <xdr:sp macro="" textlink="">
      <xdr:nvSpPr>
        <xdr:cNvPr id="24" name="Arrow: Chevron 23">
          <a:extLst>
            <a:ext uri="{FF2B5EF4-FFF2-40B4-BE49-F238E27FC236}">
              <a16:creationId xmlns:a16="http://schemas.microsoft.com/office/drawing/2014/main" id="{2B5F5C91-3FAD-8628-0F8E-7B0BADEE19CA}"/>
            </a:ext>
          </a:extLst>
        </xdr:cNvPr>
        <xdr:cNvSpPr/>
      </xdr:nvSpPr>
      <xdr:spPr>
        <a:xfrm>
          <a:off x="13615973" y="1812278"/>
          <a:ext cx="2331294" cy="776334"/>
        </a:xfrm>
        <a:prstGeom prst="chevron">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24</xdr:col>
      <xdr:colOff>617914</xdr:colOff>
      <xdr:row>10</xdr:row>
      <xdr:rowOff>18006</xdr:rowOff>
    </xdr:from>
    <xdr:to>
      <xdr:col>28</xdr:col>
      <xdr:colOff>353646</xdr:colOff>
      <xdr:row>14</xdr:row>
      <xdr:rowOff>79965</xdr:rowOff>
    </xdr:to>
    <xdr:sp macro="" textlink="">
      <xdr:nvSpPr>
        <xdr:cNvPr id="25" name="Arrow: Chevron 24">
          <a:extLst>
            <a:ext uri="{FF2B5EF4-FFF2-40B4-BE49-F238E27FC236}">
              <a16:creationId xmlns:a16="http://schemas.microsoft.com/office/drawing/2014/main" id="{5AD7C908-9433-49C9-9875-EB90D38589F4}"/>
            </a:ext>
          </a:extLst>
        </xdr:cNvPr>
        <xdr:cNvSpPr/>
      </xdr:nvSpPr>
      <xdr:spPr>
        <a:xfrm>
          <a:off x="17054493" y="1803944"/>
          <a:ext cx="2331294" cy="776334"/>
        </a:xfrm>
        <a:prstGeom prst="chevron">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398858</xdr:colOff>
      <xdr:row>10</xdr:row>
      <xdr:rowOff>19196</xdr:rowOff>
    </xdr:from>
    <xdr:to>
      <xdr:col>13</xdr:col>
      <xdr:colOff>134590</xdr:colOff>
      <xdr:row>14</xdr:row>
      <xdr:rowOff>81155</xdr:rowOff>
    </xdr:to>
    <xdr:sp macro="" textlink="">
      <xdr:nvSpPr>
        <xdr:cNvPr id="18" name="Arrow: Chevron 17">
          <a:extLst>
            <a:ext uri="{FF2B5EF4-FFF2-40B4-BE49-F238E27FC236}">
              <a16:creationId xmlns:a16="http://schemas.microsoft.com/office/drawing/2014/main" id="{0B05DB8E-C28B-6187-6941-A65F3FF01231}"/>
            </a:ext>
          </a:extLst>
        </xdr:cNvPr>
        <xdr:cNvSpPr/>
      </xdr:nvSpPr>
      <xdr:spPr>
        <a:xfrm>
          <a:off x="6679406" y="1805134"/>
          <a:ext cx="2331294" cy="776334"/>
        </a:xfrm>
        <a:prstGeom prst="chevron">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b="1">
            <a:solidFill>
              <a:schemeClr val="tx1"/>
            </a:solidFill>
          </a:endParaRPr>
        </a:p>
      </xdr:txBody>
    </xdr:sp>
    <xdr:clientData/>
  </xdr:twoCellAnchor>
  <xdr:twoCellAnchor>
    <xdr:from>
      <xdr:col>19</xdr:col>
      <xdr:colOff>285749</xdr:colOff>
      <xdr:row>10</xdr:row>
      <xdr:rowOff>6350</xdr:rowOff>
    </xdr:from>
    <xdr:to>
      <xdr:col>23</xdr:col>
      <xdr:colOff>273049</xdr:colOff>
      <xdr:row>14</xdr:row>
      <xdr:rowOff>139700</xdr:rowOff>
    </xdr:to>
    <xdr:sp macro="" textlink="">
      <xdr:nvSpPr>
        <xdr:cNvPr id="28" name="TextBox 27">
          <a:extLst>
            <a:ext uri="{FF2B5EF4-FFF2-40B4-BE49-F238E27FC236}">
              <a16:creationId xmlns:a16="http://schemas.microsoft.com/office/drawing/2014/main" id="{4CD4A33D-1776-05F4-7B56-87405AC741BB}"/>
            </a:ext>
          </a:extLst>
        </xdr:cNvPr>
        <xdr:cNvSpPr txBox="1"/>
      </xdr:nvSpPr>
      <xdr:spPr>
        <a:xfrm>
          <a:off x="13462000" y="1847850"/>
          <a:ext cx="25781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84.38</a:t>
          </a:r>
          <a:endParaRPr lang="en-IN" sz="3200" b="1"/>
        </a:p>
        <a:p>
          <a:pPr algn="ctr"/>
          <a:r>
            <a:rPr lang="en-IN" sz="1600" i="1">
              <a:solidFill>
                <a:schemeClr val="accent5">
                  <a:lumMod val="50000"/>
                </a:schemeClr>
              </a:solidFill>
              <a:latin typeface="+mn-lt"/>
            </a:rPr>
            <a:t>Avg. </a:t>
          </a:r>
          <a:r>
            <a:rPr lang="en-US" sz="1600" i="1">
              <a:solidFill>
                <a:schemeClr val="accent5">
                  <a:lumMod val="50000"/>
                </a:schemeClr>
              </a:solidFill>
              <a:latin typeface="+mn-lt"/>
            </a:rPr>
            <a:t>Attendance </a:t>
          </a:r>
          <a:endParaRPr lang="en-IN" sz="1600" i="1">
            <a:solidFill>
              <a:schemeClr val="accent5">
                <a:lumMod val="50000"/>
              </a:schemeClr>
            </a:solidFill>
            <a:latin typeface="+mn-lt"/>
          </a:endParaRPr>
        </a:p>
      </xdr:txBody>
    </xdr:sp>
    <xdr:clientData/>
  </xdr:twoCellAnchor>
  <xdr:twoCellAnchor>
    <xdr:from>
      <xdr:col>24</xdr:col>
      <xdr:colOff>476249</xdr:colOff>
      <xdr:row>10</xdr:row>
      <xdr:rowOff>12700</xdr:rowOff>
    </xdr:from>
    <xdr:to>
      <xdr:col>28</xdr:col>
      <xdr:colOff>463549</xdr:colOff>
      <xdr:row>14</xdr:row>
      <xdr:rowOff>146050</xdr:rowOff>
    </xdr:to>
    <xdr:sp macro="" textlink="">
      <xdr:nvSpPr>
        <xdr:cNvPr id="29" name="TextBox 28">
          <a:extLst>
            <a:ext uri="{FF2B5EF4-FFF2-40B4-BE49-F238E27FC236}">
              <a16:creationId xmlns:a16="http://schemas.microsoft.com/office/drawing/2014/main" id="{5FB1343F-D154-C30B-F51F-6CB694FFD729}"/>
            </a:ext>
          </a:extLst>
        </xdr:cNvPr>
        <xdr:cNvSpPr txBox="1"/>
      </xdr:nvSpPr>
      <xdr:spPr>
        <a:xfrm>
          <a:off x="16891000" y="1854200"/>
          <a:ext cx="25781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200</a:t>
          </a:r>
          <a:endParaRPr lang="en-IN" sz="3200" b="1"/>
        </a:p>
        <a:p>
          <a:pPr algn="ctr"/>
          <a:r>
            <a:rPr lang="en-US" sz="1600" i="1">
              <a:solidFill>
                <a:schemeClr val="accent6">
                  <a:lumMod val="50000"/>
                </a:schemeClr>
              </a:solidFill>
              <a:latin typeface="+mn-lt"/>
            </a:rPr>
            <a:t>Total Students</a:t>
          </a:r>
          <a:endParaRPr lang="en-IN" sz="1600" i="1">
            <a:solidFill>
              <a:schemeClr val="accent6">
                <a:lumMod val="50000"/>
              </a:schemeClr>
            </a:solidFill>
            <a:latin typeface="+mn-lt"/>
          </a:endParaRPr>
        </a:p>
      </xdr:txBody>
    </xdr:sp>
    <xdr:clientData/>
  </xdr:twoCellAnchor>
  <xdr:twoCellAnchor>
    <xdr:from>
      <xdr:col>14</xdr:col>
      <xdr:colOff>406400</xdr:colOff>
      <xdr:row>10</xdr:row>
      <xdr:rowOff>12700</xdr:rowOff>
    </xdr:from>
    <xdr:to>
      <xdr:col>17</xdr:col>
      <xdr:colOff>615949</xdr:colOff>
      <xdr:row>14</xdr:row>
      <xdr:rowOff>146050</xdr:rowOff>
    </xdr:to>
    <xdr:sp macro="" textlink="">
      <xdr:nvSpPr>
        <xdr:cNvPr id="30" name="TextBox 29">
          <a:extLst>
            <a:ext uri="{FF2B5EF4-FFF2-40B4-BE49-F238E27FC236}">
              <a16:creationId xmlns:a16="http://schemas.microsoft.com/office/drawing/2014/main" id="{8B447217-F690-6A02-54CE-4A0373A6D6AF}"/>
            </a:ext>
          </a:extLst>
        </xdr:cNvPr>
        <xdr:cNvSpPr txBox="1"/>
      </xdr:nvSpPr>
      <xdr:spPr>
        <a:xfrm>
          <a:off x="9918700" y="1854200"/>
          <a:ext cx="25781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97</a:t>
          </a:r>
          <a:endParaRPr lang="en-IN" sz="3200" b="1"/>
        </a:p>
        <a:p>
          <a:pPr algn="ctr"/>
          <a:r>
            <a:rPr lang="en-US" sz="1600" i="1">
              <a:solidFill>
                <a:schemeClr val="accent4">
                  <a:lumMod val="50000"/>
                </a:schemeClr>
              </a:solidFill>
              <a:latin typeface="+mn-lt"/>
            </a:rPr>
            <a:t>Highest Score</a:t>
          </a:r>
          <a:endParaRPr lang="en-IN" sz="1600" i="1">
            <a:solidFill>
              <a:schemeClr val="accent4">
                <a:lumMod val="50000"/>
              </a:schemeClr>
            </a:solidFill>
            <a:latin typeface="+mn-lt"/>
          </a:endParaRPr>
        </a:p>
      </xdr:txBody>
    </xdr:sp>
    <xdr:clientData/>
  </xdr:twoCellAnchor>
  <xdr:twoCellAnchor>
    <xdr:from>
      <xdr:col>9</xdr:col>
      <xdr:colOff>254000</xdr:colOff>
      <xdr:row>10</xdr:row>
      <xdr:rowOff>19050</xdr:rowOff>
    </xdr:from>
    <xdr:to>
      <xdr:col>13</xdr:col>
      <xdr:colOff>241300</xdr:colOff>
      <xdr:row>14</xdr:row>
      <xdr:rowOff>152400</xdr:rowOff>
    </xdr:to>
    <xdr:sp macro="" textlink="">
      <xdr:nvSpPr>
        <xdr:cNvPr id="31" name="TextBox 30">
          <a:extLst>
            <a:ext uri="{FF2B5EF4-FFF2-40B4-BE49-F238E27FC236}">
              <a16:creationId xmlns:a16="http://schemas.microsoft.com/office/drawing/2014/main" id="{072E5AF2-E776-911A-3119-A57443806C60}"/>
            </a:ext>
          </a:extLst>
        </xdr:cNvPr>
        <xdr:cNvSpPr txBox="1"/>
      </xdr:nvSpPr>
      <xdr:spPr>
        <a:xfrm>
          <a:off x="6527800" y="1860550"/>
          <a:ext cx="2578100" cy="86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82.68</a:t>
          </a:r>
          <a:endParaRPr lang="en-IN" sz="3200" b="1"/>
        </a:p>
        <a:p>
          <a:pPr algn="ctr"/>
          <a:r>
            <a:rPr lang="en-US" sz="1600" i="1">
              <a:solidFill>
                <a:schemeClr val="accent3">
                  <a:lumMod val="50000"/>
                </a:schemeClr>
              </a:solidFill>
              <a:latin typeface="+mn-lt"/>
            </a:rPr>
            <a:t>Average</a:t>
          </a:r>
          <a:r>
            <a:rPr lang="en-IN" sz="1600" i="1">
              <a:solidFill>
                <a:schemeClr val="accent3">
                  <a:lumMod val="50000"/>
                </a:schemeClr>
              </a:solidFill>
              <a:latin typeface="+mn-lt"/>
            </a:rPr>
            <a:t> </a:t>
          </a:r>
          <a:r>
            <a:rPr lang="en-US" sz="1600" i="1">
              <a:solidFill>
                <a:schemeClr val="accent3">
                  <a:lumMod val="50000"/>
                </a:schemeClr>
              </a:solidFill>
              <a:latin typeface="+mn-lt"/>
            </a:rPr>
            <a:t>Score </a:t>
          </a:r>
          <a:endParaRPr lang="en-IN" sz="1600" i="1">
            <a:solidFill>
              <a:schemeClr val="accent3">
                <a:lumMod val="50000"/>
              </a:schemeClr>
            </a:solidFill>
            <a:latin typeface="+mn-lt"/>
          </a:endParaRPr>
        </a:p>
      </xdr:txBody>
    </xdr:sp>
    <xdr:clientData/>
  </xdr:twoCellAnchor>
  <xdr:twoCellAnchor>
    <xdr:from>
      <xdr:col>8</xdr:col>
      <xdr:colOff>657225</xdr:colOff>
      <xdr:row>9</xdr:row>
      <xdr:rowOff>142875</xdr:rowOff>
    </xdr:from>
    <xdr:to>
      <xdr:col>9</xdr:col>
      <xdr:colOff>600074</xdr:colOff>
      <xdr:row>14</xdr:row>
      <xdr:rowOff>38100</xdr:rowOff>
    </xdr:to>
    <xdr:sp macro="" textlink="">
      <xdr:nvSpPr>
        <xdr:cNvPr id="5121" name="Text Box 1">
          <a:extLst>
            <a:ext uri="{FF2B5EF4-FFF2-40B4-BE49-F238E27FC236}">
              <a16:creationId xmlns:a16="http://schemas.microsoft.com/office/drawing/2014/main" id="{7CBC8125-7473-F0AE-5212-12E5A519F3E1}"/>
            </a:ext>
          </a:extLst>
        </xdr:cNvPr>
        <xdr:cNvSpPr txBox="1">
          <a:spLocks noChangeArrowheads="1"/>
        </xdr:cNvSpPr>
      </xdr:nvSpPr>
      <xdr:spPr bwMode="auto">
        <a:xfrm>
          <a:off x="5838825" y="1771651"/>
          <a:ext cx="1038225" cy="80009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4400" b="0" i="0" u="none" strike="noStrike" baseline="0">
              <a:solidFill>
                <a:srgbClr val="000000"/>
              </a:solidFill>
              <a:latin typeface="Calibri"/>
              <a:ea typeface="Calibri"/>
              <a:cs typeface="Calibri"/>
            </a:rPr>
            <a:t> </a:t>
          </a:r>
          <a:r>
            <a:rPr lang="en-IN" sz="4400" b="0" i="0" u="none" strike="noStrike" baseline="0">
              <a:solidFill>
                <a:srgbClr val="000000"/>
              </a:solidFill>
              <a:effectLst>
                <a:outerShdw blurRad="50800" dist="38100" dir="2700000" algn="tl" rotWithShape="0">
                  <a:prstClr val="black">
                    <a:alpha val="40000"/>
                  </a:prstClr>
                </a:outerShdw>
              </a:effectLst>
              <a:latin typeface="Calibri"/>
              <a:ea typeface="Calibri"/>
              <a:cs typeface="Calibri"/>
            </a:rPr>
            <a:t>📊</a:t>
          </a:r>
          <a:r>
            <a:rPr lang="en-IN" sz="4400" b="0" i="0" u="none" strike="noStrike" baseline="0">
              <a:solidFill>
                <a:srgbClr val="000000"/>
              </a:solidFill>
              <a:latin typeface="Calibri"/>
              <a:ea typeface="Calibri"/>
              <a:cs typeface="Calibri"/>
            </a:rPr>
            <a:t> </a:t>
          </a:r>
        </a:p>
      </xdr:txBody>
    </xdr:sp>
    <xdr:clientData/>
  </xdr:twoCellAnchor>
  <xdr:twoCellAnchor>
    <xdr:from>
      <xdr:col>13</xdr:col>
      <xdr:colOff>419099</xdr:colOff>
      <xdr:row>9</xdr:row>
      <xdr:rowOff>152400</xdr:rowOff>
    </xdr:from>
    <xdr:to>
      <xdr:col>14</xdr:col>
      <xdr:colOff>809624</xdr:colOff>
      <xdr:row>14</xdr:row>
      <xdr:rowOff>47625</xdr:rowOff>
    </xdr:to>
    <xdr:sp macro="" textlink="">
      <xdr:nvSpPr>
        <xdr:cNvPr id="32" name="Text Box 1">
          <a:extLst>
            <a:ext uri="{FF2B5EF4-FFF2-40B4-BE49-F238E27FC236}">
              <a16:creationId xmlns:a16="http://schemas.microsoft.com/office/drawing/2014/main" id="{7D1CBC53-6DFD-AA6F-5392-320A8AD0D37A}"/>
            </a:ext>
          </a:extLst>
        </xdr:cNvPr>
        <xdr:cNvSpPr txBox="1">
          <a:spLocks noChangeArrowheads="1"/>
        </xdr:cNvSpPr>
      </xdr:nvSpPr>
      <xdr:spPr bwMode="auto">
        <a:xfrm>
          <a:off x="9286875" y="1781176"/>
          <a:ext cx="1038225" cy="80009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4400" b="0" i="0" u="none" strike="noStrike" baseline="0">
              <a:solidFill>
                <a:srgbClr val="000000"/>
              </a:solidFill>
              <a:latin typeface="Calibri"/>
              <a:ea typeface="Calibri"/>
              <a:cs typeface="Calibri"/>
            </a:rPr>
            <a:t> </a:t>
          </a:r>
          <a:r>
            <a:rPr lang="en-IN" sz="4400">
              <a:effectLst>
                <a:outerShdw blurRad="50800" dist="38100" dir="2700000" algn="tl" rotWithShape="0">
                  <a:prstClr val="black">
                    <a:alpha val="40000"/>
                  </a:prstClr>
                </a:outerShdw>
              </a:effectLst>
            </a:rPr>
            <a:t>🏆</a:t>
          </a:r>
          <a:r>
            <a:rPr lang="en-IN" sz="4400"/>
            <a:t> </a:t>
          </a:r>
          <a:r>
            <a:rPr lang="en-IN" sz="4400" b="0" i="0" u="none" strike="noStrike" baseline="0">
              <a:solidFill>
                <a:srgbClr val="000000"/>
              </a:solidFill>
              <a:latin typeface="Calibri"/>
              <a:ea typeface="Calibri"/>
              <a:cs typeface="Calibri"/>
            </a:rPr>
            <a:t> </a:t>
          </a:r>
        </a:p>
      </xdr:txBody>
    </xdr:sp>
    <xdr:clientData/>
  </xdr:twoCellAnchor>
  <xdr:twoCellAnchor>
    <xdr:from>
      <xdr:col>18</xdr:col>
      <xdr:colOff>276225</xdr:colOff>
      <xdr:row>9</xdr:row>
      <xdr:rowOff>161925</xdr:rowOff>
    </xdr:from>
    <xdr:to>
      <xdr:col>20</xdr:col>
      <xdr:colOff>19050</xdr:colOff>
      <xdr:row>14</xdr:row>
      <xdr:rowOff>57150</xdr:rowOff>
    </xdr:to>
    <xdr:sp macro="" textlink="">
      <xdr:nvSpPr>
        <xdr:cNvPr id="33" name="Text Box 1">
          <a:extLst>
            <a:ext uri="{FF2B5EF4-FFF2-40B4-BE49-F238E27FC236}">
              <a16:creationId xmlns:a16="http://schemas.microsoft.com/office/drawing/2014/main" id="{3C61D009-65A1-96B7-1E46-7F87A2113B25}"/>
            </a:ext>
          </a:extLst>
        </xdr:cNvPr>
        <xdr:cNvSpPr txBox="1">
          <a:spLocks noChangeArrowheads="1"/>
        </xdr:cNvSpPr>
      </xdr:nvSpPr>
      <xdr:spPr bwMode="auto">
        <a:xfrm>
          <a:off x="12811125" y="1790701"/>
          <a:ext cx="1038225" cy="80009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4400" b="0" i="0" u="none" strike="noStrike" baseline="0">
              <a:solidFill>
                <a:srgbClr val="000000"/>
              </a:solidFill>
              <a:latin typeface="Calibri"/>
              <a:ea typeface="Calibri"/>
              <a:cs typeface="Calibri"/>
            </a:rPr>
            <a:t> </a:t>
          </a:r>
          <a:r>
            <a:rPr lang="en-IN" sz="4400">
              <a:effectLst>
                <a:outerShdw blurRad="50800" dist="38100" dir="2700000" algn="tl" rotWithShape="0">
                  <a:prstClr val="black">
                    <a:alpha val="40000"/>
                  </a:prstClr>
                </a:outerShdw>
              </a:effectLst>
            </a:rPr>
            <a:t>📈</a:t>
          </a:r>
          <a:r>
            <a:rPr lang="en-IN" sz="4400"/>
            <a:t>  </a:t>
          </a:r>
          <a:r>
            <a:rPr lang="en-IN" sz="4400" b="0" i="0" u="none" strike="noStrike" baseline="0">
              <a:solidFill>
                <a:srgbClr val="000000"/>
              </a:solidFill>
              <a:latin typeface="Calibri"/>
              <a:ea typeface="Calibri"/>
              <a:cs typeface="Calibri"/>
            </a:rPr>
            <a:t> </a:t>
          </a:r>
        </a:p>
      </xdr:txBody>
    </xdr:sp>
    <xdr:clientData/>
  </xdr:twoCellAnchor>
  <xdr:twoCellAnchor>
    <xdr:from>
      <xdr:col>23</xdr:col>
      <xdr:colOff>485775</xdr:colOff>
      <xdr:row>9</xdr:row>
      <xdr:rowOff>171450</xdr:rowOff>
    </xdr:from>
    <xdr:to>
      <xdr:col>25</xdr:col>
      <xdr:colOff>228600</xdr:colOff>
      <xdr:row>14</xdr:row>
      <xdr:rowOff>66675</xdr:rowOff>
    </xdr:to>
    <xdr:sp macro="" textlink="">
      <xdr:nvSpPr>
        <xdr:cNvPr id="34" name="Text Box 1">
          <a:extLst>
            <a:ext uri="{FF2B5EF4-FFF2-40B4-BE49-F238E27FC236}">
              <a16:creationId xmlns:a16="http://schemas.microsoft.com/office/drawing/2014/main" id="{A700EEDD-B985-CBA6-E83F-DC03B3005E40}"/>
            </a:ext>
          </a:extLst>
        </xdr:cNvPr>
        <xdr:cNvSpPr txBox="1">
          <a:spLocks noChangeArrowheads="1"/>
        </xdr:cNvSpPr>
      </xdr:nvSpPr>
      <xdr:spPr bwMode="auto">
        <a:xfrm>
          <a:off x="16259175" y="1800226"/>
          <a:ext cx="1038225" cy="80009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4400" b="0" i="0" u="none" strike="noStrike" baseline="0">
              <a:solidFill>
                <a:srgbClr val="000000"/>
              </a:solidFill>
              <a:effectLst>
                <a:outerShdw blurRad="50800" dist="38100" dir="5400000" algn="t" rotWithShape="0">
                  <a:prstClr val="black">
                    <a:alpha val="40000"/>
                  </a:prstClr>
                </a:outerShdw>
              </a:effectLst>
              <a:latin typeface="Calibri"/>
              <a:ea typeface="Calibri"/>
              <a:cs typeface="Calibri"/>
            </a:rPr>
            <a:t> </a:t>
          </a:r>
          <a:r>
            <a:rPr lang="en-IN" sz="4400">
              <a:effectLst>
                <a:outerShdw blurRad="50800" dist="38100" dir="2700000" algn="tl" rotWithShape="0">
                  <a:prstClr val="black">
                    <a:alpha val="40000"/>
                  </a:prstClr>
                </a:outerShdw>
              </a:effectLst>
            </a:rPr>
            <a:t>👨‍🎓</a:t>
          </a:r>
          <a:r>
            <a:rPr lang="en-IN" sz="4400">
              <a:effectLst>
                <a:outerShdw blurRad="50800" dist="38100" dir="5400000" algn="t" rotWithShape="0">
                  <a:prstClr val="black">
                    <a:alpha val="40000"/>
                  </a:prstClr>
                </a:outerShdw>
              </a:effectLst>
            </a:rPr>
            <a:t>   </a:t>
          </a:r>
          <a:r>
            <a:rPr lang="en-IN" sz="4400" b="0" i="0" u="none" strike="noStrike" baseline="0">
              <a:solidFill>
                <a:srgbClr val="000000"/>
              </a:solidFill>
              <a:effectLst>
                <a:outerShdw blurRad="50800" dist="38100" dir="5400000" algn="t" rotWithShape="0">
                  <a:prstClr val="black">
                    <a:alpha val="40000"/>
                  </a:prstClr>
                </a:outerShdw>
              </a:effectLst>
              <a:latin typeface="Calibri"/>
              <a:ea typeface="Calibri"/>
              <a:cs typeface="Calibri"/>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 refreshedDate="46157.576994444447" createdVersion="8" refreshedVersion="8" minRefreshableVersion="3" recordCount="200" xr:uid="{86A4A1B2-310A-4CF8-BDC2-5923917F437D}">
  <cacheSource type="worksheet">
    <worksheetSource name="Table1"/>
  </cacheSource>
  <cacheFields count="10">
    <cacheField name="Student ID" numFmtId="0">
      <sharedItems/>
    </cacheField>
    <cacheField name="Name" numFmtId="0">
      <sharedItems count="187">
        <s v="Rahul"/>
        <s v="Priya"/>
        <s v="Aman"/>
        <s v="Neha"/>
        <s v="Arjun"/>
        <s v="Simran"/>
        <s v="Karan"/>
        <s v="Anjali"/>
        <s v="Vikram"/>
        <s v="Pooja"/>
        <s v="Rohit"/>
        <s v="Sneha"/>
        <s v="Aditya"/>
        <s v="Meera"/>
        <s v="Yash"/>
        <s v="Kavya"/>
        <s v="Dev"/>
        <s v="Riya"/>
        <s v="Harsh"/>
        <s v="Nisha"/>
        <s v="Aryan"/>
        <s v="Isha"/>
        <s v="Manav"/>
        <s v="Tanvi"/>
        <s v="Rajat"/>
        <s v="Diya"/>
        <s v="Sahil"/>
        <s v="Aisha"/>
        <s v="Nikhil"/>
        <s v="Palak"/>
        <s v="Varun"/>
        <s v="Krisha"/>
        <s v="Ramesh"/>
        <s v="Shreya"/>
        <s v="Akash"/>
        <s v="Muskan"/>
        <s v="Tarun"/>
        <s v="Ananya"/>
        <s v="Deepak"/>
        <s v="Sana"/>
        <s v="Rohan"/>
        <s v="Kiara"/>
        <s v="Ayush"/>
        <s v="Zoya"/>
        <s v="Ved"/>
        <s v="Mitali"/>
        <s v="Ritesh"/>
        <s v="Navya"/>
        <s v="Kunal"/>
        <s v="Reema"/>
        <s v="Aarav"/>
        <s v="Siya"/>
        <s v="Parth"/>
        <s v="Riddhi"/>
        <s v="Tushar"/>
        <s v="Ira"/>
        <s v="Viraj"/>
        <s v="Myra"/>
        <s v="Nitin"/>
        <s v="Alina"/>
        <s v="Samar"/>
        <s v="Jiya"/>
        <s v="Raj"/>
        <s v="Tanya"/>
        <s v="Laksh"/>
        <s v="Khushi"/>
        <s v="Manish"/>
        <s v="Prachi"/>
        <s v="Gaurav"/>
        <s v="Naina"/>
        <s v="Rudra"/>
        <s v="Avni"/>
        <s v="Krish"/>
        <s v="Anika"/>
        <s v="Dhruv"/>
        <s v="Sara"/>
        <s v="Vivan"/>
        <s v="Mehak"/>
        <s v="Om"/>
        <s v="Ruhi"/>
        <s v="Yuvraj"/>
        <s v="Shruti"/>
        <s v="Arnav"/>
        <s v="Trisha"/>
        <s v="Pranav"/>
        <s v="Vaishnavi"/>
        <s v="Keshav"/>
        <s v="Pihu"/>
        <s v="Raghav"/>
        <s v="Aditi"/>
        <s v="Tejas"/>
        <s v="Mahi"/>
        <s v="Ishaan"/>
        <s v="Saanvi"/>
        <s v="Atharv"/>
        <s v="Pari"/>
        <s v="Reyansh"/>
        <s v="Anvi"/>
        <s v="Devansh"/>
        <s v="Charvi"/>
        <s v="Kabir"/>
        <s v="Rhea"/>
        <s v="Ayaan"/>
        <s v="Ronit"/>
        <s v="Ishita"/>
        <s v="Navika"/>
        <s v="Kartik"/>
        <s v="Samaira"/>
        <s v="Abeer"/>
        <s v="Ritvik"/>
        <s v="Anushka"/>
        <s v="Tia"/>
        <s v="Vihaan"/>
        <s v="Kashvi"/>
        <s v="Rachit"/>
        <s v="Prisha"/>
        <s v="Advik"/>
        <s v="Nyra"/>
        <s v="Rishi"/>
        <s v="Anaira"/>
        <s v="Shivansh"/>
        <s v="Ahana"/>
        <s v="Yashvi"/>
        <s v="Aria"/>
        <s v="Daksh"/>
        <s v="Inaaya"/>
        <s v="Aarohi"/>
        <s v="Rivan"/>
        <s v="Kiaan"/>
        <s v="Mysha"/>
        <s v="Advaith"/>
        <s v="Zara"/>
        <s v="Rudransh"/>
        <s v="Noor"/>
        <s v="Kriv"/>
        <s v="Aadhya"/>
        <s v="Aryaveer"/>
        <s v="Taara"/>
        <s v="Parv"/>
        <s v="Mishka"/>
        <s v="Viaan"/>
        <s v="Anaya"/>
        <s v="Raunak"/>
        <s v="Kyra"/>
        <s v="Neil"/>
        <s v="Suhani"/>
        <s v="Arham"/>
        <s v="Avika"/>
        <s v="Rehan"/>
        <s v="Siara"/>
        <s v="Pratham"/>
        <s v="Devika"/>
        <s v="Riaan"/>
        <s v="Sharv"/>
        <s v="Aarna"/>
        <s v="Vir"/>
        <s v="Rohin"/>
        <s v="Adiraj"/>
        <s v="Ritika"/>
        <s v="Ayra"/>
        <s v="Ivaan"/>
        <s v="Meher"/>
        <s v="Yuvan"/>
        <s v="Sia"/>
        <s v="Atharva"/>
        <s v="Ritansh"/>
        <s v="Pranjal"/>
        <s v="Shlok"/>
        <s v="Avneet"/>
        <s v="Darsh"/>
        <s v="Tanisha"/>
        <s v="Arjit"/>
        <s v="Samriddhi"/>
        <s v="Vedant"/>
        <s v="Samarth"/>
        <s v="Inaya"/>
        <s v="Raghvendra"/>
        <s v="Aaliya"/>
        <s v="Charu"/>
        <s v="Vyansh"/>
        <s v="Zaina"/>
        <s v="Rudraksh"/>
        <s v="Parnika"/>
        <s v="Devraj"/>
        <s v="Maira"/>
        <s v="Ishvik"/>
        <s v="Aarushi"/>
      </sharedItems>
    </cacheField>
    <cacheField name="Department" numFmtId="0">
      <sharedItems count="3">
        <s v="IT"/>
        <s v="CS"/>
        <s v="AI"/>
      </sharedItems>
    </cacheField>
    <cacheField name="Subject" numFmtId="0">
      <sharedItems count="4">
        <s v="Python"/>
        <s v="SQL"/>
        <s v="Java"/>
        <s v="DBMS"/>
      </sharedItems>
    </cacheField>
    <cacheField name="Attendance %" numFmtId="0">
      <sharedItems containsSemiMixedTypes="0" containsString="0" containsNumber="1" containsInteger="1" minValue="68" maxValue="98"/>
    </cacheField>
    <cacheField name="Assignment Score" numFmtId="0">
      <sharedItems containsSemiMixedTypes="0" containsString="0" containsNumber="1" containsInteger="1" minValue="60" maxValue="94"/>
    </cacheField>
    <cacheField name="Exam Score" numFmtId="0">
      <sharedItems containsSemiMixedTypes="0" containsString="0" containsNumber="1" containsInteger="1" minValue="64" maxValue="97"/>
    </cacheField>
    <cacheField name="Study Hours" numFmtId="0">
      <sharedItems containsSemiMixedTypes="0" containsString="0" containsNumber="1" containsInteger="1" minValue="2" maxValue="5"/>
    </cacheField>
    <cacheField name="Month" numFmtId="0">
      <sharedItems count="12">
        <s v="Jan"/>
        <s v="Feb"/>
        <s v="Mar"/>
        <s v="Apr"/>
        <s v="May"/>
        <s v="Jun"/>
        <s v="Jul"/>
        <s v="Aug"/>
        <s v="Sep"/>
        <s v="Oct"/>
        <s v="Nov"/>
        <s v="Dec"/>
      </sharedItems>
    </cacheField>
    <cacheField name="Performance Level" numFmtId="0">
      <sharedItems count="3">
        <s v="Good"/>
        <s v="Excellent"/>
        <s v="Needs Improvement"/>
      </sharedItems>
    </cacheField>
  </cacheFields>
  <extLst>
    <ext xmlns:x14="http://schemas.microsoft.com/office/spreadsheetml/2009/9/main" uri="{725AE2AE-9491-48be-B2B4-4EB974FC3084}">
      <x14:pivotCacheDefinition pivotCacheId="1314613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S101"/>
    <x v="0"/>
    <x v="0"/>
    <x v="0"/>
    <n v="88"/>
    <n v="75"/>
    <n v="81"/>
    <n v="3"/>
    <x v="0"/>
    <x v="0"/>
  </r>
  <r>
    <s v="S102"/>
    <x v="1"/>
    <x v="1"/>
    <x v="1"/>
    <n v="92"/>
    <n v="84"/>
    <n v="90"/>
    <n v="4"/>
    <x v="0"/>
    <x v="1"/>
  </r>
  <r>
    <s v="S103"/>
    <x v="2"/>
    <x v="2"/>
    <x v="0"/>
    <n v="76"/>
    <n v="65"/>
    <n v="70"/>
    <n v="2"/>
    <x v="0"/>
    <x v="0"/>
  </r>
  <r>
    <s v="S104"/>
    <x v="3"/>
    <x v="0"/>
    <x v="2"/>
    <n v="95"/>
    <n v="90"/>
    <n v="94"/>
    <n v="5"/>
    <x v="0"/>
    <x v="1"/>
  </r>
  <r>
    <s v="S105"/>
    <x v="4"/>
    <x v="1"/>
    <x v="3"/>
    <n v="81"/>
    <n v="72"/>
    <n v="78"/>
    <n v="3"/>
    <x v="0"/>
    <x v="0"/>
  </r>
  <r>
    <s v="S106"/>
    <x v="5"/>
    <x v="2"/>
    <x v="0"/>
    <n v="85"/>
    <n v="80"/>
    <n v="83"/>
    <n v="4"/>
    <x v="0"/>
    <x v="0"/>
  </r>
  <r>
    <s v="S107"/>
    <x v="6"/>
    <x v="0"/>
    <x v="1"/>
    <n v="69"/>
    <n v="60"/>
    <n v="65"/>
    <n v="2"/>
    <x v="0"/>
    <x v="2"/>
  </r>
  <r>
    <s v="S108"/>
    <x v="7"/>
    <x v="1"/>
    <x v="2"/>
    <n v="91"/>
    <n v="88"/>
    <n v="92"/>
    <n v="5"/>
    <x v="0"/>
    <x v="1"/>
  </r>
  <r>
    <s v="S109"/>
    <x v="8"/>
    <x v="2"/>
    <x v="3"/>
    <n v="74"/>
    <n v="68"/>
    <n v="72"/>
    <n v="2"/>
    <x v="0"/>
    <x v="0"/>
  </r>
  <r>
    <s v="S110"/>
    <x v="9"/>
    <x v="0"/>
    <x v="0"/>
    <n v="89"/>
    <n v="82"/>
    <n v="85"/>
    <n v="4"/>
    <x v="0"/>
    <x v="1"/>
  </r>
  <r>
    <s v="S111"/>
    <x v="10"/>
    <x v="1"/>
    <x v="1"/>
    <n v="77"/>
    <n v="71"/>
    <n v="75"/>
    <n v="3"/>
    <x v="1"/>
    <x v="0"/>
  </r>
  <r>
    <s v="S112"/>
    <x v="11"/>
    <x v="2"/>
    <x v="2"/>
    <n v="93"/>
    <n v="89"/>
    <n v="91"/>
    <n v="5"/>
    <x v="1"/>
    <x v="1"/>
  </r>
  <r>
    <s v="S113"/>
    <x v="12"/>
    <x v="0"/>
    <x v="3"/>
    <n v="82"/>
    <n v="76"/>
    <n v="79"/>
    <n v="3"/>
    <x v="1"/>
    <x v="0"/>
  </r>
  <r>
    <s v="S114"/>
    <x v="13"/>
    <x v="1"/>
    <x v="0"/>
    <n v="87"/>
    <n v="81"/>
    <n v="84"/>
    <n v="4"/>
    <x v="1"/>
    <x v="0"/>
  </r>
  <r>
    <s v="S115"/>
    <x v="14"/>
    <x v="2"/>
    <x v="1"/>
    <n v="72"/>
    <n v="66"/>
    <n v="70"/>
    <n v="2"/>
    <x v="1"/>
    <x v="0"/>
  </r>
  <r>
    <s v="S116"/>
    <x v="15"/>
    <x v="0"/>
    <x v="2"/>
    <n v="96"/>
    <n v="91"/>
    <n v="95"/>
    <n v="5"/>
    <x v="1"/>
    <x v="1"/>
  </r>
  <r>
    <s v="S117"/>
    <x v="16"/>
    <x v="1"/>
    <x v="3"/>
    <n v="79"/>
    <n v="73"/>
    <n v="77"/>
    <n v="3"/>
    <x v="1"/>
    <x v="0"/>
  </r>
  <r>
    <s v="S118"/>
    <x v="17"/>
    <x v="2"/>
    <x v="0"/>
    <n v="84"/>
    <n v="78"/>
    <n v="82"/>
    <n v="4"/>
    <x v="1"/>
    <x v="0"/>
  </r>
  <r>
    <s v="S119"/>
    <x v="18"/>
    <x v="0"/>
    <x v="1"/>
    <n v="68"/>
    <n v="61"/>
    <n v="64"/>
    <n v="2"/>
    <x v="1"/>
    <x v="2"/>
  </r>
  <r>
    <s v="S120"/>
    <x v="19"/>
    <x v="1"/>
    <x v="2"/>
    <n v="90"/>
    <n v="86"/>
    <n v="89"/>
    <n v="5"/>
    <x v="1"/>
    <x v="1"/>
  </r>
  <r>
    <s v="S121"/>
    <x v="20"/>
    <x v="2"/>
    <x v="3"/>
    <n v="75"/>
    <n v="69"/>
    <n v="73"/>
    <n v="2"/>
    <x v="2"/>
    <x v="0"/>
  </r>
  <r>
    <s v="S122"/>
    <x v="21"/>
    <x v="0"/>
    <x v="0"/>
    <n v="88"/>
    <n v="83"/>
    <n v="86"/>
    <n v="4"/>
    <x v="2"/>
    <x v="1"/>
  </r>
  <r>
    <s v="S123"/>
    <x v="22"/>
    <x v="1"/>
    <x v="1"/>
    <n v="80"/>
    <n v="74"/>
    <n v="78"/>
    <n v="3"/>
    <x v="2"/>
    <x v="0"/>
  </r>
  <r>
    <s v="S124"/>
    <x v="23"/>
    <x v="2"/>
    <x v="2"/>
    <n v="94"/>
    <n v="90"/>
    <n v="93"/>
    <n v="5"/>
    <x v="2"/>
    <x v="1"/>
  </r>
  <r>
    <s v="S125"/>
    <x v="24"/>
    <x v="0"/>
    <x v="3"/>
    <n v="78"/>
    <n v="72"/>
    <n v="76"/>
    <n v="3"/>
    <x v="2"/>
    <x v="0"/>
  </r>
  <r>
    <s v="S126"/>
    <x v="25"/>
    <x v="1"/>
    <x v="0"/>
    <n v="86"/>
    <n v="80"/>
    <n v="84"/>
    <n v="4"/>
    <x v="2"/>
    <x v="0"/>
  </r>
  <r>
    <s v="S127"/>
    <x v="26"/>
    <x v="2"/>
    <x v="1"/>
    <n v="71"/>
    <n v="64"/>
    <n v="68"/>
    <n v="2"/>
    <x v="2"/>
    <x v="2"/>
  </r>
  <r>
    <s v="S128"/>
    <x v="27"/>
    <x v="0"/>
    <x v="2"/>
    <n v="97"/>
    <n v="92"/>
    <n v="96"/>
    <n v="5"/>
    <x v="2"/>
    <x v="1"/>
  </r>
  <r>
    <s v="S129"/>
    <x v="28"/>
    <x v="1"/>
    <x v="3"/>
    <n v="83"/>
    <n v="77"/>
    <n v="81"/>
    <n v="3"/>
    <x v="2"/>
    <x v="0"/>
  </r>
  <r>
    <s v="S130"/>
    <x v="29"/>
    <x v="2"/>
    <x v="0"/>
    <n v="89"/>
    <n v="85"/>
    <n v="88"/>
    <n v="4"/>
    <x v="2"/>
    <x v="1"/>
  </r>
  <r>
    <s v="S131"/>
    <x v="30"/>
    <x v="0"/>
    <x v="1"/>
    <n v="73"/>
    <n v="67"/>
    <n v="71"/>
    <n v="2"/>
    <x v="3"/>
    <x v="0"/>
  </r>
  <r>
    <s v="S132"/>
    <x v="31"/>
    <x v="1"/>
    <x v="2"/>
    <n v="92"/>
    <n v="88"/>
    <n v="91"/>
    <n v="5"/>
    <x v="3"/>
    <x v="1"/>
  </r>
  <r>
    <s v="S133"/>
    <x v="32"/>
    <x v="2"/>
    <x v="3"/>
    <n v="81"/>
    <n v="75"/>
    <n v="79"/>
    <n v="3"/>
    <x v="3"/>
    <x v="0"/>
  </r>
  <r>
    <s v="S134"/>
    <x v="33"/>
    <x v="0"/>
    <x v="0"/>
    <n v="87"/>
    <n v="82"/>
    <n v="85"/>
    <n v="4"/>
    <x v="3"/>
    <x v="1"/>
  </r>
  <r>
    <s v="S135"/>
    <x v="34"/>
    <x v="1"/>
    <x v="1"/>
    <n v="76"/>
    <n v="70"/>
    <n v="74"/>
    <n v="3"/>
    <x v="3"/>
    <x v="0"/>
  </r>
  <r>
    <s v="S136"/>
    <x v="35"/>
    <x v="2"/>
    <x v="2"/>
    <n v="95"/>
    <n v="91"/>
    <n v="94"/>
    <n v="5"/>
    <x v="3"/>
    <x v="1"/>
  </r>
  <r>
    <s v="S137"/>
    <x v="36"/>
    <x v="0"/>
    <x v="3"/>
    <n v="79"/>
    <n v="73"/>
    <n v="77"/>
    <n v="3"/>
    <x v="3"/>
    <x v="0"/>
  </r>
  <r>
    <s v="S138"/>
    <x v="37"/>
    <x v="1"/>
    <x v="0"/>
    <n v="84"/>
    <n v="79"/>
    <n v="83"/>
    <n v="4"/>
    <x v="3"/>
    <x v="0"/>
  </r>
  <r>
    <s v="S139"/>
    <x v="38"/>
    <x v="2"/>
    <x v="1"/>
    <n v="70"/>
    <n v="63"/>
    <n v="67"/>
    <n v="2"/>
    <x v="3"/>
    <x v="2"/>
  </r>
  <r>
    <s v="S140"/>
    <x v="39"/>
    <x v="0"/>
    <x v="2"/>
    <n v="98"/>
    <n v="94"/>
    <n v="97"/>
    <n v="5"/>
    <x v="3"/>
    <x v="1"/>
  </r>
  <r>
    <s v="S141"/>
    <x v="40"/>
    <x v="1"/>
    <x v="0"/>
    <n v="85"/>
    <n v="79"/>
    <n v="83"/>
    <n v="4"/>
    <x v="3"/>
    <x v="0"/>
  </r>
  <r>
    <s v="S142"/>
    <x v="41"/>
    <x v="2"/>
    <x v="2"/>
    <n v="93"/>
    <n v="89"/>
    <n v="92"/>
    <n v="5"/>
    <x v="3"/>
    <x v="1"/>
  </r>
  <r>
    <s v="S143"/>
    <x v="42"/>
    <x v="0"/>
    <x v="3"/>
    <n v="77"/>
    <n v="71"/>
    <n v="75"/>
    <n v="3"/>
    <x v="3"/>
    <x v="0"/>
  </r>
  <r>
    <s v="S144"/>
    <x v="43"/>
    <x v="1"/>
    <x v="1"/>
    <n v="88"/>
    <n v="84"/>
    <n v="87"/>
    <n v="4"/>
    <x v="3"/>
    <x v="1"/>
  </r>
  <r>
    <s v="S145"/>
    <x v="44"/>
    <x v="2"/>
    <x v="0"/>
    <n v="74"/>
    <n v="68"/>
    <n v="72"/>
    <n v="2"/>
    <x v="3"/>
    <x v="0"/>
  </r>
  <r>
    <s v="S146"/>
    <x v="45"/>
    <x v="0"/>
    <x v="2"/>
    <n v="96"/>
    <n v="92"/>
    <n v="95"/>
    <n v="5"/>
    <x v="3"/>
    <x v="1"/>
  </r>
  <r>
    <s v="S147"/>
    <x v="46"/>
    <x v="1"/>
    <x v="3"/>
    <n v="82"/>
    <n v="76"/>
    <n v="80"/>
    <n v="3"/>
    <x v="3"/>
    <x v="0"/>
  </r>
  <r>
    <s v="S148"/>
    <x v="47"/>
    <x v="2"/>
    <x v="1"/>
    <n v="79"/>
    <n v="73"/>
    <n v="77"/>
    <n v="3"/>
    <x v="3"/>
    <x v="0"/>
  </r>
  <r>
    <s v="S149"/>
    <x v="48"/>
    <x v="0"/>
    <x v="0"/>
    <n v="90"/>
    <n v="86"/>
    <n v="89"/>
    <n v="4"/>
    <x v="3"/>
    <x v="1"/>
  </r>
  <r>
    <s v="S150"/>
    <x v="49"/>
    <x v="1"/>
    <x v="2"/>
    <n v="94"/>
    <n v="90"/>
    <n v="93"/>
    <n v="5"/>
    <x v="3"/>
    <x v="1"/>
  </r>
  <r>
    <s v="S151"/>
    <x v="50"/>
    <x v="2"/>
    <x v="3"/>
    <n v="76"/>
    <n v="70"/>
    <n v="74"/>
    <n v="2"/>
    <x v="4"/>
    <x v="0"/>
  </r>
  <r>
    <s v="S152"/>
    <x v="51"/>
    <x v="0"/>
    <x v="0"/>
    <n v="87"/>
    <n v="82"/>
    <n v="85"/>
    <n v="4"/>
    <x v="4"/>
    <x v="1"/>
  </r>
  <r>
    <s v="S153"/>
    <x v="52"/>
    <x v="1"/>
    <x v="1"/>
    <n v="81"/>
    <n v="75"/>
    <n v="79"/>
    <n v="3"/>
    <x v="4"/>
    <x v="0"/>
  </r>
  <r>
    <s v="S154"/>
    <x v="53"/>
    <x v="2"/>
    <x v="2"/>
    <n v="95"/>
    <n v="91"/>
    <n v="94"/>
    <n v="5"/>
    <x v="4"/>
    <x v="1"/>
  </r>
  <r>
    <s v="S155"/>
    <x v="54"/>
    <x v="0"/>
    <x v="3"/>
    <n v="78"/>
    <n v="72"/>
    <n v="76"/>
    <n v="3"/>
    <x v="4"/>
    <x v="0"/>
  </r>
  <r>
    <s v="S156"/>
    <x v="55"/>
    <x v="1"/>
    <x v="0"/>
    <n v="89"/>
    <n v="85"/>
    <n v="88"/>
    <n v="4"/>
    <x v="4"/>
    <x v="1"/>
  </r>
  <r>
    <s v="S157"/>
    <x v="56"/>
    <x v="2"/>
    <x v="1"/>
    <n v="72"/>
    <n v="66"/>
    <n v="70"/>
    <n v="2"/>
    <x v="4"/>
    <x v="0"/>
  </r>
  <r>
    <s v="S158"/>
    <x v="57"/>
    <x v="0"/>
    <x v="2"/>
    <n v="97"/>
    <n v="93"/>
    <n v="96"/>
    <n v="5"/>
    <x v="4"/>
    <x v="1"/>
  </r>
  <r>
    <s v="S159"/>
    <x v="58"/>
    <x v="1"/>
    <x v="3"/>
    <n v="84"/>
    <n v="78"/>
    <n v="82"/>
    <n v="3"/>
    <x v="4"/>
    <x v="0"/>
  </r>
  <r>
    <s v="S160"/>
    <x v="59"/>
    <x v="2"/>
    <x v="0"/>
    <n v="91"/>
    <n v="87"/>
    <n v="90"/>
    <n v="4"/>
    <x v="4"/>
    <x v="1"/>
  </r>
  <r>
    <s v="S161"/>
    <x v="60"/>
    <x v="0"/>
    <x v="1"/>
    <n v="75"/>
    <n v="69"/>
    <n v="73"/>
    <n v="2"/>
    <x v="4"/>
    <x v="0"/>
  </r>
  <r>
    <s v="S162"/>
    <x v="61"/>
    <x v="1"/>
    <x v="2"/>
    <n v="92"/>
    <n v="88"/>
    <n v="91"/>
    <n v="5"/>
    <x v="4"/>
    <x v="1"/>
  </r>
  <r>
    <s v="S163"/>
    <x v="62"/>
    <x v="2"/>
    <x v="3"/>
    <n v="80"/>
    <n v="74"/>
    <n v="78"/>
    <n v="3"/>
    <x v="4"/>
    <x v="0"/>
  </r>
  <r>
    <s v="S164"/>
    <x v="63"/>
    <x v="0"/>
    <x v="0"/>
    <n v="86"/>
    <n v="81"/>
    <n v="84"/>
    <n v="4"/>
    <x v="4"/>
    <x v="0"/>
  </r>
  <r>
    <s v="S165"/>
    <x v="64"/>
    <x v="1"/>
    <x v="1"/>
    <n v="73"/>
    <n v="67"/>
    <n v="71"/>
    <n v="2"/>
    <x v="4"/>
    <x v="0"/>
  </r>
  <r>
    <s v="S166"/>
    <x v="65"/>
    <x v="2"/>
    <x v="2"/>
    <n v="96"/>
    <n v="92"/>
    <n v="95"/>
    <n v="5"/>
    <x v="4"/>
    <x v="1"/>
  </r>
  <r>
    <s v="S167"/>
    <x v="66"/>
    <x v="0"/>
    <x v="3"/>
    <n v="79"/>
    <n v="73"/>
    <n v="77"/>
    <n v="3"/>
    <x v="4"/>
    <x v="0"/>
  </r>
  <r>
    <s v="S168"/>
    <x v="67"/>
    <x v="1"/>
    <x v="0"/>
    <n v="88"/>
    <n v="84"/>
    <n v="87"/>
    <n v="4"/>
    <x v="4"/>
    <x v="1"/>
  </r>
  <r>
    <s v="S169"/>
    <x v="68"/>
    <x v="2"/>
    <x v="1"/>
    <n v="71"/>
    <n v="65"/>
    <n v="69"/>
    <n v="2"/>
    <x v="4"/>
    <x v="2"/>
  </r>
  <r>
    <s v="S170"/>
    <x v="69"/>
    <x v="0"/>
    <x v="2"/>
    <n v="98"/>
    <n v="94"/>
    <n v="97"/>
    <n v="5"/>
    <x v="4"/>
    <x v="1"/>
  </r>
  <r>
    <s v="S171"/>
    <x v="70"/>
    <x v="1"/>
    <x v="3"/>
    <n v="83"/>
    <n v="77"/>
    <n v="81"/>
    <n v="3"/>
    <x v="5"/>
    <x v="0"/>
  </r>
  <r>
    <s v="S172"/>
    <x v="71"/>
    <x v="2"/>
    <x v="0"/>
    <n v="90"/>
    <n v="86"/>
    <n v="89"/>
    <n v="4"/>
    <x v="5"/>
    <x v="1"/>
  </r>
  <r>
    <s v="S173"/>
    <x v="72"/>
    <x v="0"/>
    <x v="1"/>
    <n v="74"/>
    <n v="68"/>
    <n v="72"/>
    <n v="2"/>
    <x v="5"/>
    <x v="0"/>
  </r>
  <r>
    <s v="S174"/>
    <x v="73"/>
    <x v="1"/>
    <x v="2"/>
    <n v="93"/>
    <n v="89"/>
    <n v="92"/>
    <n v="5"/>
    <x v="5"/>
    <x v="1"/>
  </r>
  <r>
    <s v="S175"/>
    <x v="74"/>
    <x v="2"/>
    <x v="3"/>
    <n v="81"/>
    <n v="75"/>
    <n v="79"/>
    <n v="3"/>
    <x v="5"/>
    <x v="0"/>
  </r>
  <r>
    <s v="S176"/>
    <x v="75"/>
    <x v="0"/>
    <x v="0"/>
    <n v="87"/>
    <n v="82"/>
    <n v="85"/>
    <n v="4"/>
    <x v="5"/>
    <x v="1"/>
  </r>
  <r>
    <s v="S177"/>
    <x v="76"/>
    <x v="1"/>
    <x v="1"/>
    <n v="76"/>
    <n v="70"/>
    <n v="74"/>
    <n v="3"/>
    <x v="5"/>
    <x v="0"/>
  </r>
  <r>
    <s v="S178"/>
    <x v="77"/>
    <x v="2"/>
    <x v="2"/>
    <n v="95"/>
    <n v="91"/>
    <n v="94"/>
    <n v="5"/>
    <x v="5"/>
    <x v="1"/>
  </r>
  <r>
    <s v="S179"/>
    <x v="78"/>
    <x v="0"/>
    <x v="3"/>
    <n v="78"/>
    <n v="72"/>
    <n v="76"/>
    <n v="3"/>
    <x v="5"/>
    <x v="0"/>
  </r>
  <r>
    <s v="S180"/>
    <x v="79"/>
    <x v="1"/>
    <x v="0"/>
    <n v="89"/>
    <n v="85"/>
    <n v="88"/>
    <n v="4"/>
    <x v="5"/>
    <x v="1"/>
  </r>
  <r>
    <s v="S181"/>
    <x v="80"/>
    <x v="2"/>
    <x v="1"/>
    <n v="72"/>
    <n v="66"/>
    <n v="70"/>
    <n v="2"/>
    <x v="5"/>
    <x v="0"/>
  </r>
  <r>
    <s v="S182"/>
    <x v="81"/>
    <x v="0"/>
    <x v="2"/>
    <n v="97"/>
    <n v="93"/>
    <n v="96"/>
    <n v="5"/>
    <x v="5"/>
    <x v="1"/>
  </r>
  <r>
    <s v="S183"/>
    <x v="82"/>
    <x v="1"/>
    <x v="3"/>
    <n v="84"/>
    <n v="78"/>
    <n v="82"/>
    <n v="3"/>
    <x v="5"/>
    <x v="0"/>
  </r>
  <r>
    <s v="S184"/>
    <x v="83"/>
    <x v="2"/>
    <x v="0"/>
    <n v="91"/>
    <n v="87"/>
    <n v="90"/>
    <n v="4"/>
    <x v="5"/>
    <x v="1"/>
  </r>
  <r>
    <s v="S185"/>
    <x v="84"/>
    <x v="0"/>
    <x v="1"/>
    <n v="75"/>
    <n v="69"/>
    <n v="73"/>
    <n v="2"/>
    <x v="5"/>
    <x v="0"/>
  </r>
  <r>
    <s v="S186"/>
    <x v="85"/>
    <x v="1"/>
    <x v="2"/>
    <n v="92"/>
    <n v="88"/>
    <n v="91"/>
    <n v="5"/>
    <x v="5"/>
    <x v="1"/>
  </r>
  <r>
    <s v="S187"/>
    <x v="86"/>
    <x v="2"/>
    <x v="3"/>
    <n v="80"/>
    <n v="74"/>
    <n v="78"/>
    <n v="3"/>
    <x v="5"/>
    <x v="0"/>
  </r>
  <r>
    <s v="S188"/>
    <x v="87"/>
    <x v="0"/>
    <x v="0"/>
    <n v="86"/>
    <n v="81"/>
    <n v="84"/>
    <n v="4"/>
    <x v="5"/>
    <x v="0"/>
  </r>
  <r>
    <s v="S189"/>
    <x v="88"/>
    <x v="1"/>
    <x v="1"/>
    <n v="73"/>
    <n v="67"/>
    <n v="71"/>
    <n v="2"/>
    <x v="5"/>
    <x v="0"/>
  </r>
  <r>
    <s v="S190"/>
    <x v="89"/>
    <x v="2"/>
    <x v="2"/>
    <n v="96"/>
    <n v="92"/>
    <n v="95"/>
    <n v="5"/>
    <x v="5"/>
    <x v="1"/>
  </r>
  <r>
    <s v="S191"/>
    <x v="90"/>
    <x v="0"/>
    <x v="3"/>
    <n v="79"/>
    <n v="73"/>
    <n v="77"/>
    <n v="3"/>
    <x v="6"/>
    <x v="0"/>
  </r>
  <r>
    <s v="S192"/>
    <x v="91"/>
    <x v="1"/>
    <x v="0"/>
    <n v="88"/>
    <n v="84"/>
    <n v="87"/>
    <n v="4"/>
    <x v="6"/>
    <x v="1"/>
  </r>
  <r>
    <s v="S193"/>
    <x v="92"/>
    <x v="2"/>
    <x v="1"/>
    <n v="71"/>
    <n v="65"/>
    <n v="69"/>
    <n v="2"/>
    <x v="6"/>
    <x v="2"/>
  </r>
  <r>
    <s v="S194"/>
    <x v="93"/>
    <x v="0"/>
    <x v="2"/>
    <n v="98"/>
    <n v="94"/>
    <n v="97"/>
    <n v="5"/>
    <x v="6"/>
    <x v="1"/>
  </r>
  <r>
    <s v="S195"/>
    <x v="94"/>
    <x v="1"/>
    <x v="3"/>
    <n v="83"/>
    <n v="77"/>
    <n v="81"/>
    <n v="3"/>
    <x v="6"/>
    <x v="0"/>
  </r>
  <r>
    <s v="S196"/>
    <x v="95"/>
    <x v="2"/>
    <x v="0"/>
    <n v="90"/>
    <n v="86"/>
    <n v="89"/>
    <n v="4"/>
    <x v="6"/>
    <x v="1"/>
  </r>
  <r>
    <s v="S197"/>
    <x v="96"/>
    <x v="0"/>
    <x v="1"/>
    <n v="74"/>
    <n v="68"/>
    <n v="72"/>
    <n v="2"/>
    <x v="6"/>
    <x v="0"/>
  </r>
  <r>
    <s v="S198"/>
    <x v="97"/>
    <x v="1"/>
    <x v="2"/>
    <n v="93"/>
    <n v="89"/>
    <n v="92"/>
    <n v="5"/>
    <x v="6"/>
    <x v="1"/>
  </r>
  <r>
    <s v="S199"/>
    <x v="98"/>
    <x v="2"/>
    <x v="3"/>
    <n v="81"/>
    <n v="75"/>
    <n v="79"/>
    <n v="3"/>
    <x v="6"/>
    <x v="0"/>
  </r>
  <r>
    <s v="S200"/>
    <x v="99"/>
    <x v="0"/>
    <x v="0"/>
    <n v="87"/>
    <n v="82"/>
    <n v="85"/>
    <n v="4"/>
    <x v="6"/>
    <x v="1"/>
  </r>
  <r>
    <s v="S201"/>
    <x v="100"/>
    <x v="1"/>
    <x v="1"/>
    <n v="76"/>
    <n v="70"/>
    <n v="74"/>
    <n v="3"/>
    <x v="6"/>
    <x v="0"/>
  </r>
  <r>
    <s v="S202"/>
    <x v="101"/>
    <x v="2"/>
    <x v="2"/>
    <n v="95"/>
    <n v="91"/>
    <n v="94"/>
    <n v="5"/>
    <x v="6"/>
    <x v="1"/>
  </r>
  <r>
    <s v="S203"/>
    <x v="102"/>
    <x v="0"/>
    <x v="3"/>
    <n v="78"/>
    <n v="72"/>
    <n v="76"/>
    <n v="3"/>
    <x v="6"/>
    <x v="0"/>
  </r>
  <r>
    <s v="S204"/>
    <x v="25"/>
    <x v="1"/>
    <x v="0"/>
    <n v="89"/>
    <n v="85"/>
    <n v="88"/>
    <n v="4"/>
    <x v="6"/>
    <x v="1"/>
  </r>
  <r>
    <s v="S205"/>
    <x v="103"/>
    <x v="2"/>
    <x v="1"/>
    <n v="72"/>
    <n v="66"/>
    <n v="70"/>
    <n v="2"/>
    <x v="6"/>
    <x v="0"/>
  </r>
  <r>
    <s v="S206"/>
    <x v="104"/>
    <x v="0"/>
    <x v="2"/>
    <n v="97"/>
    <n v="93"/>
    <n v="96"/>
    <n v="5"/>
    <x v="6"/>
    <x v="1"/>
  </r>
  <r>
    <s v="S207"/>
    <x v="4"/>
    <x v="1"/>
    <x v="3"/>
    <n v="84"/>
    <n v="78"/>
    <n v="82"/>
    <n v="3"/>
    <x v="6"/>
    <x v="0"/>
  </r>
  <r>
    <s v="S208"/>
    <x v="105"/>
    <x v="2"/>
    <x v="0"/>
    <n v="91"/>
    <n v="87"/>
    <n v="90"/>
    <n v="4"/>
    <x v="6"/>
    <x v="1"/>
  </r>
  <r>
    <s v="S209"/>
    <x v="106"/>
    <x v="0"/>
    <x v="1"/>
    <n v="75"/>
    <n v="69"/>
    <n v="73"/>
    <n v="2"/>
    <x v="6"/>
    <x v="0"/>
  </r>
  <r>
    <s v="S210"/>
    <x v="107"/>
    <x v="1"/>
    <x v="2"/>
    <n v="92"/>
    <n v="88"/>
    <n v="91"/>
    <n v="5"/>
    <x v="6"/>
    <x v="1"/>
  </r>
  <r>
    <s v="S211"/>
    <x v="108"/>
    <x v="2"/>
    <x v="3"/>
    <n v="80"/>
    <n v="74"/>
    <n v="78"/>
    <n v="3"/>
    <x v="7"/>
    <x v="0"/>
  </r>
  <r>
    <s v="S212"/>
    <x v="41"/>
    <x v="0"/>
    <x v="0"/>
    <n v="86"/>
    <n v="81"/>
    <n v="84"/>
    <n v="4"/>
    <x v="7"/>
    <x v="0"/>
  </r>
  <r>
    <s v="S213"/>
    <x v="109"/>
    <x v="1"/>
    <x v="1"/>
    <n v="73"/>
    <n v="67"/>
    <n v="71"/>
    <n v="2"/>
    <x v="7"/>
    <x v="0"/>
  </r>
  <r>
    <s v="S214"/>
    <x v="110"/>
    <x v="2"/>
    <x v="2"/>
    <n v="96"/>
    <n v="92"/>
    <n v="95"/>
    <n v="5"/>
    <x v="7"/>
    <x v="1"/>
  </r>
  <r>
    <s v="S215"/>
    <x v="18"/>
    <x v="0"/>
    <x v="3"/>
    <n v="79"/>
    <n v="73"/>
    <n v="77"/>
    <n v="3"/>
    <x v="7"/>
    <x v="0"/>
  </r>
  <r>
    <s v="S216"/>
    <x v="111"/>
    <x v="1"/>
    <x v="0"/>
    <n v="88"/>
    <n v="84"/>
    <n v="87"/>
    <n v="4"/>
    <x v="7"/>
    <x v="1"/>
  </r>
  <r>
    <s v="S217"/>
    <x v="112"/>
    <x v="2"/>
    <x v="1"/>
    <n v="71"/>
    <n v="65"/>
    <n v="69"/>
    <n v="2"/>
    <x v="7"/>
    <x v="2"/>
  </r>
  <r>
    <s v="S218"/>
    <x v="113"/>
    <x v="0"/>
    <x v="2"/>
    <n v="98"/>
    <n v="94"/>
    <n v="97"/>
    <n v="5"/>
    <x v="7"/>
    <x v="1"/>
  </r>
  <r>
    <s v="S219"/>
    <x v="114"/>
    <x v="1"/>
    <x v="3"/>
    <n v="83"/>
    <n v="77"/>
    <n v="81"/>
    <n v="3"/>
    <x v="7"/>
    <x v="0"/>
  </r>
  <r>
    <s v="S220"/>
    <x v="115"/>
    <x v="2"/>
    <x v="0"/>
    <n v="90"/>
    <n v="86"/>
    <n v="89"/>
    <n v="4"/>
    <x v="7"/>
    <x v="1"/>
  </r>
  <r>
    <s v="S221"/>
    <x v="116"/>
    <x v="0"/>
    <x v="1"/>
    <n v="74"/>
    <n v="68"/>
    <n v="72"/>
    <n v="2"/>
    <x v="7"/>
    <x v="0"/>
  </r>
  <r>
    <s v="S222"/>
    <x v="117"/>
    <x v="1"/>
    <x v="2"/>
    <n v="93"/>
    <n v="89"/>
    <n v="92"/>
    <n v="5"/>
    <x v="7"/>
    <x v="1"/>
  </r>
  <r>
    <s v="S223"/>
    <x v="118"/>
    <x v="2"/>
    <x v="3"/>
    <n v="81"/>
    <n v="75"/>
    <n v="79"/>
    <n v="3"/>
    <x v="7"/>
    <x v="0"/>
  </r>
  <r>
    <s v="S224"/>
    <x v="119"/>
    <x v="0"/>
    <x v="0"/>
    <n v="87"/>
    <n v="82"/>
    <n v="85"/>
    <n v="4"/>
    <x v="7"/>
    <x v="1"/>
  </r>
  <r>
    <s v="S225"/>
    <x v="120"/>
    <x v="1"/>
    <x v="1"/>
    <n v="76"/>
    <n v="70"/>
    <n v="74"/>
    <n v="3"/>
    <x v="7"/>
    <x v="0"/>
  </r>
  <r>
    <s v="S226"/>
    <x v="121"/>
    <x v="2"/>
    <x v="2"/>
    <n v="95"/>
    <n v="91"/>
    <n v="94"/>
    <n v="5"/>
    <x v="7"/>
    <x v="1"/>
  </r>
  <r>
    <s v="S227"/>
    <x v="122"/>
    <x v="0"/>
    <x v="3"/>
    <n v="78"/>
    <n v="72"/>
    <n v="76"/>
    <n v="3"/>
    <x v="7"/>
    <x v="0"/>
  </r>
  <r>
    <s v="S228"/>
    <x v="123"/>
    <x v="1"/>
    <x v="0"/>
    <n v="89"/>
    <n v="85"/>
    <n v="88"/>
    <n v="4"/>
    <x v="7"/>
    <x v="1"/>
  </r>
  <r>
    <s v="S229"/>
    <x v="124"/>
    <x v="2"/>
    <x v="1"/>
    <n v="72"/>
    <n v="66"/>
    <n v="70"/>
    <n v="2"/>
    <x v="7"/>
    <x v="0"/>
  </r>
  <r>
    <s v="S230"/>
    <x v="125"/>
    <x v="0"/>
    <x v="2"/>
    <n v="97"/>
    <n v="93"/>
    <n v="96"/>
    <n v="5"/>
    <x v="7"/>
    <x v="1"/>
  </r>
  <r>
    <s v="S231"/>
    <x v="126"/>
    <x v="1"/>
    <x v="3"/>
    <n v="84"/>
    <n v="78"/>
    <n v="82"/>
    <n v="3"/>
    <x v="8"/>
    <x v="0"/>
  </r>
  <r>
    <s v="S232"/>
    <x v="127"/>
    <x v="2"/>
    <x v="0"/>
    <n v="91"/>
    <n v="87"/>
    <n v="90"/>
    <n v="4"/>
    <x v="8"/>
    <x v="1"/>
  </r>
  <r>
    <s v="S233"/>
    <x v="128"/>
    <x v="0"/>
    <x v="1"/>
    <n v="75"/>
    <n v="69"/>
    <n v="73"/>
    <n v="2"/>
    <x v="8"/>
    <x v="0"/>
  </r>
  <r>
    <s v="S234"/>
    <x v="129"/>
    <x v="1"/>
    <x v="2"/>
    <n v="92"/>
    <n v="88"/>
    <n v="91"/>
    <n v="5"/>
    <x v="8"/>
    <x v="1"/>
  </r>
  <r>
    <s v="S235"/>
    <x v="130"/>
    <x v="2"/>
    <x v="3"/>
    <n v="80"/>
    <n v="74"/>
    <n v="78"/>
    <n v="3"/>
    <x v="8"/>
    <x v="0"/>
  </r>
  <r>
    <s v="S236"/>
    <x v="131"/>
    <x v="0"/>
    <x v="0"/>
    <n v="86"/>
    <n v="81"/>
    <n v="84"/>
    <n v="4"/>
    <x v="8"/>
    <x v="0"/>
  </r>
  <r>
    <s v="S237"/>
    <x v="132"/>
    <x v="1"/>
    <x v="1"/>
    <n v="73"/>
    <n v="67"/>
    <n v="71"/>
    <n v="2"/>
    <x v="8"/>
    <x v="0"/>
  </r>
  <r>
    <s v="S238"/>
    <x v="133"/>
    <x v="2"/>
    <x v="2"/>
    <n v="96"/>
    <n v="92"/>
    <n v="95"/>
    <n v="5"/>
    <x v="8"/>
    <x v="1"/>
  </r>
  <r>
    <s v="S239"/>
    <x v="134"/>
    <x v="0"/>
    <x v="3"/>
    <n v="79"/>
    <n v="73"/>
    <n v="77"/>
    <n v="3"/>
    <x v="8"/>
    <x v="0"/>
  </r>
  <r>
    <s v="S240"/>
    <x v="135"/>
    <x v="1"/>
    <x v="0"/>
    <n v="88"/>
    <n v="84"/>
    <n v="87"/>
    <n v="4"/>
    <x v="8"/>
    <x v="1"/>
  </r>
  <r>
    <s v="S241"/>
    <x v="136"/>
    <x v="2"/>
    <x v="1"/>
    <n v="71"/>
    <n v="65"/>
    <n v="69"/>
    <n v="2"/>
    <x v="8"/>
    <x v="2"/>
  </r>
  <r>
    <s v="S242"/>
    <x v="137"/>
    <x v="0"/>
    <x v="2"/>
    <n v="98"/>
    <n v="94"/>
    <n v="97"/>
    <n v="5"/>
    <x v="8"/>
    <x v="1"/>
  </r>
  <r>
    <s v="S243"/>
    <x v="138"/>
    <x v="1"/>
    <x v="3"/>
    <n v="83"/>
    <n v="77"/>
    <n v="81"/>
    <n v="3"/>
    <x v="8"/>
    <x v="0"/>
  </r>
  <r>
    <s v="S244"/>
    <x v="139"/>
    <x v="2"/>
    <x v="0"/>
    <n v="90"/>
    <n v="86"/>
    <n v="89"/>
    <n v="4"/>
    <x v="8"/>
    <x v="1"/>
  </r>
  <r>
    <s v="S245"/>
    <x v="140"/>
    <x v="0"/>
    <x v="1"/>
    <n v="74"/>
    <n v="68"/>
    <n v="72"/>
    <n v="2"/>
    <x v="8"/>
    <x v="0"/>
  </r>
  <r>
    <s v="S246"/>
    <x v="141"/>
    <x v="1"/>
    <x v="2"/>
    <n v="93"/>
    <n v="89"/>
    <n v="92"/>
    <n v="5"/>
    <x v="8"/>
    <x v="1"/>
  </r>
  <r>
    <s v="S247"/>
    <x v="142"/>
    <x v="2"/>
    <x v="3"/>
    <n v="81"/>
    <n v="75"/>
    <n v="79"/>
    <n v="3"/>
    <x v="8"/>
    <x v="0"/>
  </r>
  <r>
    <s v="S248"/>
    <x v="143"/>
    <x v="0"/>
    <x v="0"/>
    <n v="87"/>
    <n v="82"/>
    <n v="85"/>
    <n v="4"/>
    <x v="8"/>
    <x v="1"/>
  </r>
  <r>
    <s v="S249"/>
    <x v="144"/>
    <x v="1"/>
    <x v="1"/>
    <n v="76"/>
    <n v="70"/>
    <n v="74"/>
    <n v="3"/>
    <x v="8"/>
    <x v="0"/>
  </r>
  <r>
    <s v="S250"/>
    <x v="145"/>
    <x v="2"/>
    <x v="2"/>
    <n v="95"/>
    <n v="91"/>
    <n v="94"/>
    <n v="5"/>
    <x v="8"/>
    <x v="1"/>
  </r>
  <r>
    <s v="S251"/>
    <x v="146"/>
    <x v="0"/>
    <x v="3"/>
    <n v="78"/>
    <n v="72"/>
    <n v="76"/>
    <n v="3"/>
    <x v="9"/>
    <x v="0"/>
  </r>
  <r>
    <s v="S252"/>
    <x v="147"/>
    <x v="1"/>
    <x v="0"/>
    <n v="89"/>
    <n v="85"/>
    <n v="88"/>
    <n v="4"/>
    <x v="9"/>
    <x v="1"/>
  </r>
  <r>
    <s v="S253"/>
    <x v="148"/>
    <x v="2"/>
    <x v="1"/>
    <n v="72"/>
    <n v="66"/>
    <n v="70"/>
    <n v="2"/>
    <x v="9"/>
    <x v="0"/>
  </r>
  <r>
    <s v="S254"/>
    <x v="149"/>
    <x v="0"/>
    <x v="2"/>
    <n v="97"/>
    <n v="93"/>
    <n v="96"/>
    <n v="5"/>
    <x v="9"/>
    <x v="1"/>
  </r>
  <r>
    <s v="S255"/>
    <x v="150"/>
    <x v="1"/>
    <x v="3"/>
    <n v="84"/>
    <n v="78"/>
    <n v="82"/>
    <n v="3"/>
    <x v="9"/>
    <x v="0"/>
  </r>
  <r>
    <s v="S256"/>
    <x v="41"/>
    <x v="2"/>
    <x v="0"/>
    <n v="91"/>
    <n v="87"/>
    <n v="90"/>
    <n v="4"/>
    <x v="9"/>
    <x v="1"/>
  </r>
  <r>
    <s v="S257"/>
    <x v="151"/>
    <x v="0"/>
    <x v="1"/>
    <n v="75"/>
    <n v="69"/>
    <n v="73"/>
    <n v="2"/>
    <x v="9"/>
    <x v="0"/>
  </r>
  <r>
    <s v="S258"/>
    <x v="152"/>
    <x v="1"/>
    <x v="2"/>
    <n v="92"/>
    <n v="88"/>
    <n v="91"/>
    <n v="5"/>
    <x v="9"/>
    <x v="1"/>
  </r>
  <r>
    <s v="S259"/>
    <x v="153"/>
    <x v="2"/>
    <x v="3"/>
    <n v="80"/>
    <n v="74"/>
    <n v="78"/>
    <n v="3"/>
    <x v="9"/>
    <x v="0"/>
  </r>
  <r>
    <s v="S260"/>
    <x v="154"/>
    <x v="0"/>
    <x v="0"/>
    <n v="86"/>
    <n v="81"/>
    <n v="84"/>
    <n v="4"/>
    <x v="9"/>
    <x v="0"/>
  </r>
  <r>
    <s v="S261"/>
    <x v="155"/>
    <x v="1"/>
    <x v="1"/>
    <n v="73"/>
    <n v="67"/>
    <n v="71"/>
    <n v="2"/>
    <x v="9"/>
    <x v="0"/>
  </r>
  <r>
    <s v="S262"/>
    <x v="47"/>
    <x v="2"/>
    <x v="2"/>
    <n v="96"/>
    <n v="92"/>
    <n v="95"/>
    <n v="5"/>
    <x v="9"/>
    <x v="1"/>
  </r>
  <r>
    <s v="S263"/>
    <x v="156"/>
    <x v="0"/>
    <x v="3"/>
    <n v="79"/>
    <n v="73"/>
    <n v="77"/>
    <n v="3"/>
    <x v="9"/>
    <x v="0"/>
  </r>
  <r>
    <s v="S264"/>
    <x v="97"/>
    <x v="1"/>
    <x v="0"/>
    <n v="88"/>
    <n v="84"/>
    <n v="87"/>
    <n v="4"/>
    <x v="9"/>
    <x v="1"/>
  </r>
  <r>
    <s v="S265"/>
    <x v="157"/>
    <x v="2"/>
    <x v="1"/>
    <n v="71"/>
    <n v="65"/>
    <n v="69"/>
    <n v="2"/>
    <x v="9"/>
    <x v="2"/>
  </r>
  <r>
    <s v="S266"/>
    <x v="158"/>
    <x v="0"/>
    <x v="2"/>
    <n v="98"/>
    <n v="94"/>
    <n v="97"/>
    <n v="5"/>
    <x v="9"/>
    <x v="1"/>
  </r>
  <r>
    <s v="S267"/>
    <x v="159"/>
    <x v="1"/>
    <x v="3"/>
    <n v="83"/>
    <n v="77"/>
    <n v="81"/>
    <n v="3"/>
    <x v="9"/>
    <x v="0"/>
  </r>
  <r>
    <s v="S268"/>
    <x v="31"/>
    <x v="2"/>
    <x v="0"/>
    <n v="90"/>
    <n v="86"/>
    <n v="89"/>
    <n v="4"/>
    <x v="9"/>
    <x v="1"/>
  </r>
  <r>
    <s v="S269"/>
    <x v="160"/>
    <x v="0"/>
    <x v="1"/>
    <n v="74"/>
    <n v="68"/>
    <n v="72"/>
    <n v="2"/>
    <x v="9"/>
    <x v="0"/>
  </r>
  <r>
    <s v="S270"/>
    <x v="161"/>
    <x v="1"/>
    <x v="2"/>
    <n v="93"/>
    <n v="89"/>
    <n v="92"/>
    <n v="5"/>
    <x v="9"/>
    <x v="1"/>
  </r>
  <r>
    <s v="S271"/>
    <x v="162"/>
    <x v="2"/>
    <x v="3"/>
    <n v="81"/>
    <n v="75"/>
    <n v="79"/>
    <n v="3"/>
    <x v="10"/>
    <x v="0"/>
  </r>
  <r>
    <s v="S272"/>
    <x v="163"/>
    <x v="0"/>
    <x v="0"/>
    <n v="87"/>
    <n v="82"/>
    <n v="85"/>
    <n v="4"/>
    <x v="10"/>
    <x v="1"/>
  </r>
  <r>
    <s v="S273"/>
    <x v="164"/>
    <x v="1"/>
    <x v="1"/>
    <n v="76"/>
    <n v="70"/>
    <n v="74"/>
    <n v="3"/>
    <x v="10"/>
    <x v="0"/>
  </r>
  <r>
    <s v="S274"/>
    <x v="73"/>
    <x v="2"/>
    <x v="2"/>
    <n v="95"/>
    <n v="91"/>
    <n v="94"/>
    <n v="5"/>
    <x v="10"/>
    <x v="1"/>
  </r>
  <r>
    <s v="S275"/>
    <x v="165"/>
    <x v="0"/>
    <x v="3"/>
    <n v="78"/>
    <n v="72"/>
    <n v="76"/>
    <n v="3"/>
    <x v="10"/>
    <x v="0"/>
  </r>
  <r>
    <s v="S276"/>
    <x v="166"/>
    <x v="1"/>
    <x v="0"/>
    <n v="89"/>
    <n v="85"/>
    <n v="88"/>
    <n v="4"/>
    <x v="10"/>
    <x v="1"/>
  </r>
  <r>
    <s v="S277"/>
    <x v="167"/>
    <x v="2"/>
    <x v="1"/>
    <n v="72"/>
    <n v="66"/>
    <n v="70"/>
    <n v="2"/>
    <x v="10"/>
    <x v="0"/>
  </r>
  <r>
    <s v="S278"/>
    <x v="168"/>
    <x v="0"/>
    <x v="2"/>
    <n v="97"/>
    <n v="93"/>
    <n v="96"/>
    <n v="5"/>
    <x v="10"/>
    <x v="1"/>
  </r>
  <r>
    <s v="S279"/>
    <x v="169"/>
    <x v="1"/>
    <x v="3"/>
    <n v="84"/>
    <n v="78"/>
    <n v="82"/>
    <n v="3"/>
    <x v="10"/>
    <x v="0"/>
  </r>
  <r>
    <s v="S280"/>
    <x v="170"/>
    <x v="2"/>
    <x v="0"/>
    <n v="91"/>
    <n v="87"/>
    <n v="90"/>
    <n v="4"/>
    <x v="10"/>
    <x v="1"/>
  </r>
  <r>
    <s v="S281"/>
    <x v="171"/>
    <x v="0"/>
    <x v="1"/>
    <n v="75"/>
    <n v="69"/>
    <n v="73"/>
    <n v="2"/>
    <x v="10"/>
    <x v="0"/>
  </r>
  <r>
    <s v="S282"/>
    <x v="172"/>
    <x v="1"/>
    <x v="2"/>
    <n v="92"/>
    <n v="88"/>
    <n v="91"/>
    <n v="5"/>
    <x v="10"/>
    <x v="1"/>
  </r>
  <r>
    <s v="S283"/>
    <x v="173"/>
    <x v="2"/>
    <x v="3"/>
    <n v="80"/>
    <n v="74"/>
    <n v="78"/>
    <n v="3"/>
    <x v="10"/>
    <x v="0"/>
  </r>
  <r>
    <s v="S284"/>
    <x v="57"/>
    <x v="0"/>
    <x v="0"/>
    <n v="86"/>
    <n v="81"/>
    <n v="84"/>
    <n v="4"/>
    <x v="10"/>
    <x v="0"/>
  </r>
  <r>
    <s v="S285"/>
    <x v="174"/>
    <x v="1"/>
    <x v="1"/>
    <n v="73"/>
    <n v="67"/>
    <n v="71"/>
    <n v="2"/>
    <x v="10"/>
    <x v="0"/>
  </r>
  <r>
    <s v="S286"/>
    <x v="175"/>
    <x v="2"/>
    <x v="2"/>
    <n v="96"/>
    <n v="92"/>
    <n v="95"/>
    <n v="5"/>
    <x v="10"/>
    <x v="1"/>
  </r>
  <r>
    <s v="S287"/>
    <x v="176"/>
    <x v="0"/>
    <x v="3"/>
    <n v="79"/>
    <n v="73"/>
    <n v="77"/>
    <n v="3"/>
    <x v="10"/>
    <x v="0"/>
  </r>
  <r>
    <s v="S288"/>
    <x v="177"/>
    <x v="1"/>
    <x v="0"/>
    <n v="88"/>
    <n v="84"/>
    <n v="87"/>
    <n v="4"/>
    <x v="10"/>
    <x v="1"/>
  </r>
  <r>
    <s v="S289"/>
    <x v="116"/>
    <x v="2"/>
    <x v="1"/>
    <n v="71"/>
    <n v="65"/>
    <n v="69"/>
    <n v="2"/>
    <x v="10"/>
    <x v="2"/>
  </r>
  <r>
    <s v="S290"/>
    <x v="178"/>
    <x v="0"/>
    <x v="2"/>
    <n v="98"/>
    <n v="94"/>
    <n v="97"/>
    <n v="5"/>
    <x v="10"/>
    <x v="1"/>
  </r>
  <r>
    <s v="S291"/>
    <x v="179"/>
    <x v="1"/>
    <x v="3"/>
    <n v="83"/>
    <n v="77"/>
    <n v="81"/>
    <n v="3"/>
    <x v="11"/>
    <x v="0"/>
  </r>
  <r>
    <s v="S292"/>
    <x v="27"/>
    <x v="2"/>
    <x v="0"/>
    <n v="90"/>
    <n v="86"/>
    <n v="89"/>
    <n v="4"/>
    <x v="11"/>
    <x v="1"/>
  </r>
  <r>
    <s v="S293"/>
    <x v="82"/>
    <x v="0"/>
    <x v="1"/>
    <n v="74"/>
    <n v="68"/>
    <n v="72"/>
    <n v="2"/>
    <x v="11"/>
    <x v="0"/>
  </r>
  <r>
    <s v="S294"/>
    <x v="180"/>
    <x v="1"/>
    <x v="2"/>
    <n v="93"/>
    <n v="89"/>
    <n v="92"/>
    <n v="5"/>
    <x v="11"/>
    <x v="1"/>
  </r>
  <r>
    <s v="S295"/>
    <x v="181"/>
    <x v="2"/>
    <x v="3"/>
    <n v="81"/>
    <n v="75"/>
    <n v="79"/>
    <n v="3"/>
    <x v="11"/>
    <x v="0"/>
  </r>
  <r>
    <s v="S296"/>
    <x v="182"/>
    <x v="0"/>
    <x v="0"/>
    <n v="87"/>
    <n v="82"/>
    <n v="85"/>
    <n v="4"/>
    <x v="11"/>
    <x v="1"/>
  </r>
  <r>
    <s v="S297"/>
    <x v="183"/>
    <x v="1"/>
    <x v="1"/>
    <n v="76"/>
    <n v="70"/>
    <n v="74"/>
    <n v="3"/>
    <x v="11"/>
    <x v="0"/>
  </r>
  <r>
    <s v="S298"/>
    <x v="184"/>
    <x v="2"/>
    <x v="2"/>
    <n v="95"/>
    <n v="91"/>
    <n v="94"/>
    <n v="5"/>
    <x v="11"/>
    <x v="1"/>
  </r>
  <r>
    <s v="S299"/>
    <x v="185"/>
    <x v="0"/>
    <x v="3"/>
    <n v="78"/>
    <n v="72"/>
    <n v="76"/>
    <n v="3"/>
    <x v="11"/>
    <x v="0"/>
  </r>
  <r>
    <s v="S300"/>
    <x v="186"/>
    <x v="1"/>
    <x v="0"/>
    <n v="89"/>
    <n v="85"/>
    <n v="88"/>
    <n v="4"/>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2A787-0D6C-41C4-8EB3-641A5F4A6343}" name="Perfomance"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O6" firstHeaderRow="1" firstDataRow="1" firstDataCol="1"/>
  <pivotFields count="10">
    <pivotField dataField="1" showAll="0"/>
    <pivotField showAll="0"/>
    <pivotField showAll="0">
      <items count="4">
        <item h="1" x="2"/>
        <item x="1"/>
        <item h="1" x="0"/>
        <item t="default"/>
      </items>
    </pivotField>
    <pivotField showAll="0">
      <items count="5">
        <item x="3"/>
        <item x="2"/>
        <item x="0"/>
        <item x="1"/>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4">
        <item x="1"/>
        <item x="0"/>
        <item x="2"/>
        <item t="default"/>
      </items>
    </pivotField>
  </pivotFields>
  <rowFields count="1">
    <field x="9"/>
  </rowFields>
  <rowItems count="3">
    <i>
      <x/>
    </i>
    <i>
      <x v="1"/>
    </i>
    <i t="grand">
      <x/>
    </i>
  </rowItems>
  <colItems count="1">
    <i/>
  </colItems>
  <dataFields count="1">
    <dataField name="Count of Student ID" fld="0" subtotal="count" baseField="9"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5ACC23-E3CD-406A-B88B-44B21573A6A1}" name="Top10"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19" firstHeaderRow="1" firstDataRow="1" firstDataCol="1"/>
  <pivotFields count="10">
    <pivotField showAll="0"/>
    <pivotField axis="axisRow" showAll="0" measureFilter="1">
      <items count="188">
        <item x="135"/>
        <item x="177"/>
        <item x="50"/>
        <item x="154"/>
        <item x="126"/>
        <item x="186"/>
        <item x="108"/>
        <item x="157"/>
        <item x="89"/>
        <item x="12"/>
        <item x="130"/>
        <item x="116"/>
        <item x="121"/>
        <item x="27"/>
        <item x="34"/>
        <item x="59"/>
        <item x="2"/>
        <item x="119"/>
        <item x="37"/>
        <item x="141"/>
        <item x="73"/>
        <item x="7"/>
        <item x="110"/>
        <item x="97"/>
        <item x="146"/>
        <item x="123"/>
        <item x="171"/>
        <item x="4"/>
        <item x="82"/>
        <item x="20"/>
        <item x="136"/>
        <item x="94"/>
        <item x="164"/>
        <item x="147"/>
        <item x="168"/>
        <item x="71"/>
        <item x="102"/>
        <item x="159"/>
        <item x="42"/>
        <item x="178"/>
        <item x="99"/>
        <item x="124"/>
        <item x="169"/>
        <item x="38"/>
        <item x="16"/>
        <item x="98"/>
        <item x="151"/>
        <item x="183"/>
        <item x="74"/>
        <item x="25"/>
        <item x="68"/>
        <item x="18"/>
        <item x="125"/>
        <item x="175"/>
        <item x="55"/>
        <item x="21"/>
        <item x="92"/>
        <item x="104"/>
        <item x="185"/>
        <item x="160"/>
        <item x="61"/>
        <item x="100"/>
        <item x="6"/>
        <item x="106"/>
        <item x="113"/>
        <item x="15"/>
        <item x="86"/>
        <item x="65"/>
        <item x="128"/>
        <item x="41"/>
        <item x="72"/>
        <item x="31"/>
        <item x="134"/>
        <item x="48"/>
        <item x="143"/>
        <item x="64"/>
        <item x="91"/>
        <item x="184"/>
        <item x="22"/>
        <item x="66"/>
        <item x="13"/>
        <item x="77"/>
        <item x="161"/>
        <item x="139"/>
        <item x="45"/>
        <item x="35"/>
        <item x="57"/>
        <item x="129"/>
        <item x="69"/>
        <item x="105"/>
        <item x="47"/>
        <item x="3"/>
        <item x="144"/>
        <item x="28"/>
        <item x="19"/>
        <item x="58"/>
        <item x="133"/>
        <item x="117"/>
        <item x="78"/>
        <item x="29"/>
        <item x="95"/>
        <item x="182"/>
        <item x="52"/>
        <item x="138"/>
        <item x="87"/>
        <item x="9"/>
        <item x="67"/>
        <item x="84"/>
        <item x="166"/>
        <item x="150"/>
        <item x="115"/>
        <item x="1"/>
        <item x="114"/>
        <item x="88"/>
        <item x="176"/>
        <item x="0"/>
        <item x="62"/>
        <item x="24"/>
        <item x="32"/>
        <item x="142"/>
        <item x="49"/>
        <item x="148"/>
        <item x="96"/>
        <item x="101"/>
        <item x="152"/>
        <item x="53"/>
        <item x="118"/>
        <item x="165"/>
        <item x="46"/>
        <item x="158"/>
        <item x="109"/>
        <item x="127"/>
        <item x="17"/>
        <item x="40"/>
        <item x="156"/>
        <item x="10"/>
        <item x="103"/>
        <item x="70"/>
        <item x="181"/>
        <item x="132"/>
        <item x="79"/>
        <item x="93"/>
        <item x="26"/>
        <item x="107"/>
        <item x="60"/>
        <item x="174"/>
        <item x="172"/>
        <item x="39"/>
        <item x="75"/>
        <item x="153"/>
        <item x="120"/>
        <item x="167"/>
        <item x="33"/>
        <item x="81"/>
        <item x="163"/>
        <item x="149"/>
        <item x="5"/>
        <item x="51"/>
        <item x="11"/>
        <item x="145"/>
        <item x="137"/>
        <item x="170"/>
        <item x="23"/>
        <item x="63"/>
        <item x="36"/>
        <item x="90"/>
        <item x="111"/>
        <item x="83"/>
        <item x="54"/>
        <item x="85"/>
        <item x="30"/>
        <item x="44"/>
        <item x="173"/>
        <item x="140"/>
        <item x="112"/>
        <item x="8"/>
        <item x="155"/>
        <item x="56"/>
        <item x="76"/>
        <item x="179"/>
        <item x="14"/>
        <item x="122"/>
        <item x="162"/>
        <item x="80"/>
        <item x="180"/>
        <item x="131"/>
        <item x="43"/>
        <item t="default"/>
      </items>
    </pivotField>
    <pivotField showAll="0">
      <items count="4">
        <item h="1" x="2"/>
        <item x="1"/>
        <item h="1" x="0"/>
        <item t="default"/>
      </items>
    </pivotField>
    <pivotField showAll="0">
      <items count="5">
        <item x="3"/>
        <item x="2"/>
        <item x="0"/>
        <item x="1"/>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1"/>
  </rowFields>
  <rowItems count="16">
    <i>
      <x v="19"/>
    </i>
    <i>
      <x v="20"/>
    </i>
    <i>
      <x v="21"/>
    </i>
    <i>
      <x v="23"/>
    </i>
    <i>
      <x v="60"/>
    </i>
    <i>
      <x v="71"/>
    </i>
    <i>
      <x v="82"/>
    </i>
    <i>
      <x v="87"/>
    </i>
    <i>
      <x v="97"/>
    </i>
    <i>
      <x v="120"/>
    </i>
    <i>
      <x v="124"/>
    </i>
    <i>
      <x v="143"/>
    </i>
    <i>
      <x v="146"/>
    </i>
    <i>
      <x v="169"/>
    </i>
    <i>
      <x v="184"/>
    </i>
    <i t="grand">
      <x/>
    </i>
  </rowItems>
  <colItems count="1">
    <i/>
  </colItems>
  <dataFields count="1">
    <dataField name="Max of Exam Score" fld="6" subtotal="max" baseField="1"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30DC8B-DF29-4DB0-A558-95F48A01BD23}" name="SubjectWise"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I8" firstHeaderRow="0" firstDataRow="1" firstDataCol="1"/>
  <pivotFields count="10">
    <pivotField showAll="0"/>
    <pivotField showAll="0"/>
    <pivotField showAll="0">
      <items count="4">
        <item h="1" x="2"/>
        <item x="1"/>
        <item h="1" x="0"/>
        <item t="default"/>
      </items>
    </pivotField>
    <pivotField axis="axisRow" showAll="0">
      <items count="5">
        <item x="3"/>
        <item x="2"/>
        <item x="0"/>
        <item x="1"/>
        <item t="default"/>
      </items>
    </pivotField>
    <pivotField dataField="1" showAll="0"/>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3"/>
  </rowFields>
  <rowItems count="5">
    <i>
      <x/>
    </i>
    <i>
      <x v="1"/>
    </i>
    <i>
      <x v="2"/>
    </i>
    <i>
      <x v="3"/>
    </i>
    <i t="grand">
      <x/>
    </i>
  </rowItems>
  <colFields count="1">
    <field x="-2"/>
  </colFields>
  <colItems count="2">
    <i>
      <x/>
    </i>
    <i i="1">
      <x v="1"/>
    </i>
  </colItems>
  <dataFields count="2">
    <dataField name="Average of Exam Score" fld="6" subtotal="average" baseField="3" baseItem="0" numFmtId="165"/>
    <dataField name="Average of Attendance %" fld="4" subtotal="average" baseField="3" baseItem="0" numFmtId="2"/>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EF963A-B6F1-4897-B89B-B1F82C1C36EC}" name="DeptPerformance"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5" firstHeaderRow="1" firstDataRow="1" firstDataCol="1"/>
  <pivotFields count="10">
    <pivotField showAll="0"/>
    <pivotField showAll="0"/>
    <pivotField axis="axisRow" showAll="0">
      <items count="4">
        <item h="1" x="2"/>
        <item x="1"/>
        <item h="1" x="0"/>
        <item t="default"/>
      </items>
    </pivotField>
    <pivotField showAll="0">
      <items count="5">
        <item x="3"/>
        <item x="2"/>
        <item x="0"/>
        <item x="1"/>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showAll="0"/>
  </pivotFields>
  <rowFields count="1">
    <field x="2"/>
  </rowFields>
  <rowItems count="2">
    <i>
      <x v="1"/>
    </i>
    <i t="grand">
      <x/>
    </i>
  </rowItems>
  <colItems count="1">
    <i/>
  </colItems>
  <dataFields count="1">
    <dataField name="Average of Exam Score" fld="6" subtotal="average" baseField="2" baseItem="0" numFmtId="165"/>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67D685-C4CC-4CA2-96AF-4676FF4CB013}" name="MonthlyPerformance"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0">
    <pivotField showAll="0"/>
    <pivotField showAll="0"/>
    <pivotField showAll="0">
      <items count="4">
        <item h="1" x="2"/>
        <item x="1"/>
        <item h="1" x="0"/>
        <item t="default"/>
      </items>
    </pivotField>
    <pivotField showAll="0">
      <items count="5">
        <item x="3"/>
        <item x="2"/>
        <item x="0"/>
        <item x="1"/>
        <item t="default"/>
      </items>
    </pivotField>
    <pivotField showAll="0"/>
    <pivotField showAll="0"/>
    <pivotField dataField="1" showAll="0"/>
    <pivotField showAll="0"/>
    <pivotField axis="axisRow" showAll="0">
      <items count="13">
        <item x="0"/>
        <item x="1"/>
        <item x="2"/>
        <item x="3"/>
        <item x="4"/>
        <item x="5"/>
        <item x="6"/>
        <item x="7"/>
        <item x="8"/>
        <item x="9"/>
        <item x="10"/>
        <item x="11"/>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Average of Exam Score" fld="6" subtotal="average" baseField="8"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9723EAB-E23F-45B4-97BB-A90B80DACE5B}" sourceName="Month">
  <pivotTables>
    <pivotTable tabId="5" name="DeptPerformance"/>
    <pivotTable tabId="5" name="Perfomance"/>
    <pivotTable tabId="5" name="SubjectWise"/>
    <pivotTable tabId="5" name="Top10"/>
  </pivotTables>
  <data>
    <tabular pivotCacheId="1314613543">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EABE0C7-D4C8-478B-9413-853D639256F2}" sourceName="Department">
  <pivotTables>
    <pivotTable tabId="5" name="SubjectWise"/>
    <pivotTable tabId="5" name="DeptPerformance"/>
    <pivotTable tabId="5" name="MonthlyPerformance"/>
    <pivotTable tabId="5" name="Perfomance"/>
    <pivotTable tabId="5" name="Top10"/>
  </pivotTables>
  <data>
    <tabular pivotCacheId="1314613543">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DD58F009-EEE5-4649-8000-F6FE8AB6A5EA}" sourceName="Subject">
  <pivotTables>
    <pivotTable tabId="5" name="SubjectWise"/>
    <pivotTable tabId="5" name="DeptPerformance"/>
    <pivotTable tabId="5" name="MonthlyPerformance"/>
    <pivotTable tabId="5" name="Perfomance"/>
    <pivotTable tabId="5" name="Top10"/>
  </pivotTables>
  <data>
    <tabular pivotCacheId="1314613543">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6D4B25D-495E-4A6D-A89A-E9E4A6A3A93B}" cache="Slicer_Month" caption="Month" columnCount="2" style="SlicerStyleLight5" rowHeight="241300"/>
  <slicer name="Department" xr10:uid="{C777EE35-5B03-4505-BA5F-B4EC562EB6DA}" cache="Slicer_Department" caption="Department" columnCount="2" style="SlicerStyleDark6" rowHeight="241300"/>
  <slicer name="Subject" xr10:uid="{AD810F2E-3AB6-4BAB-AD86-DBF5E33E444D}" cache="Slicer_Subject" caption="Subject" columnCount="2"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B11EE-E757-4C74-8CAA-2E0B85C3DA95}" name="Table1" displayName="Table1" ref="A1:J201" totalsRowShown="0" headerRowDxfId="11" dataDxfId="10">
  <autoFilter ref="A1:J201" xr:uid="{AB1B11EE-E757-4C74-8CAA-2E0B85C3DA95}"/>
  <tableColumns count="10">
    <tableColumn id="1" xr3:uid="{E35A5F23-D423-4F06-980E-811AC80572BB}" name="Student ID" dataDxfId="9"/>
    <tableColumn id="2" xr3:uid="{04063B89-3A62-4AF4-AF61-67A21F713F27}" name="Name" dataDxfId="8"/>
    <tableColumn id="3" xr3:uid="{2AF6166D-2B83-471E-BA8D-3F5AADC88A80}" name="Department" dataDxfId="7"/>
    <tableColumn id="4" xr3:uid="{EECE1EF1-A16D-4611-9918-6247FCD22483}" name="Subject" dataDxfId="6"/>
    <tableColumn id="5" xr3:uid="{58834A47-3C29-4852-8E59-190394DE570A}" name="Attendance %" dataDxfId="5"/>
    <tableColumn id="6" xr3:uid="{D3A2EC94-43AB-46DC-861D-E195A3818E9F}" name="Assignment Score" dataDxfId="4"/>
    <tableColumn id="7" xr3:uid="{824400C0-D5B1-4A79-BBDA-9082C88D5F21}" name="Exam Score" dataDxfId="3"/>
    <tableColumn id="8" xr3:uid="{288577E6-0D4E-48BF-BB46-5118C1839C95}" name="Study Hours" dataDxfId="2"/>
    <tableColumn id="9" xr3:uid="{0FA0B443-91D4-4244-B6DB-DC7A56C48C52}" name="Month" dataDxfId="1"/>
    <tableColumn id="10" xr3:uid="{59B62CCE-46AF-41CC-B8DF-EF7F1758B5E6}" name="Performance Level" dataDxfId="0">
      <calculatedColumnFormula>IF(G2&gt;=85,"Excellent",IF(G2&gt;=70,"Good","Needs Improvement"))</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C52D1-2363-4ABC-94C1-E6488643EE66}">
  <dimension ref="A3:O19"/>
  <sheetViews>
    <sheetView topLeftCell="F1" workbookViewId="0">
      <selection activeCell="AG13" sqref="AG13"/>
    </sheetView>
  </sheetViews>
  <sheetFormatPr defaultRowHeight="14.25" x14ac:dyDescent="0.45"/>
  <cols>
    <col min="1" max="1" width="12.06640625" bestFit="1" customWidth="1"/>
    <col min="2" max="2" width="19.3984375" bestFit="1" customWidth="1"/>
    <col min="4" max="4" width="12.06640625" bestFit="1" customWidth="1"/>
    <col min="5" max="5" width="19.3984375" bestFit="1" customWidth="1"/>
    <col min="7" max="7" width="12.06640625" bestFit="1" customWidth="1"/>
    <col min="8" max="8" width="19.3984375" bestFit="1" customWidth="1"/>
    <col min="9" max="9" width="21.53125" bestFit="1" customWidth="1"/>
    <col min="11" max="11" width="12.06640625" bestFit="1" customWidth="1"/>
    <col min="12" max="12" width="16.1328125" bestFit="1" customWidth="1"/>
    <col min="14" max="14" width="12.06640625" bestFit="1" customWidth="1"/>
    <col min="15" max="15" width="17" bestFit="1" customWidth="1"/>
  </cols>
  <sheetData>
    <row r="3" spans="1:15" x14ac:dyDescent="0.45">
      <c r="A3" s="2" t="s">
        <v>415</v>
      </c>
      <c r="B3" t="s">
        <v>418</v>
      </c>
      <c r="D3" s="2" t="s">
        <v>415</v>
      </c>
      <c r="E3" t="s">
        <v>418</v>
      </c>
      <c r="G3" s="2" t="s">
        <v>415</v>
      </c>
      <c r="H3" t="s">
        <v>418</v>
      </c>
      <c r="I3" t="s">
        <v>419</v>
      </c>
      <c r="K3" s="2" t="s">
        <v>415</v>
      </c>
      <c r="L3" t="s">
        <v>420</v>
      </c>
      <c r="N3" s="2" t="s">
        <v>415</v>
      </c>
      <c r="O3" t="s">
        <v>417</v>
      </c>
    </row>
    <row r="4" spans="1:15" x14ac:dyDescent="0.45">
      <c r="A4" s="3" t="s">
        <v>13</v>
      </c>
      <c r="B4" s="5">
        <v>86.666666666666671</v>
      </c>
      <c r="D4" s="3" t="s">
        <v>16</v>
      </c>
      <c r="E4" s="5">
        <v>83.31343283582089</v>
      </c>
      <c r="G4" s="3" t="s">
        <v>26</v>
      </c>
      <c r="H4" s="5">
        <v>80.875</v>
      </c>
      <c r="I4" s="6">
        <v>82.9375</v>
      </c>
      <c r="K4" s="3" t="s">
        <v>312</v>
      </c>
      <c r="L4" s="5">
        <v>92</v>
      </c>
      <c r="N4" s="3" t="s">
        <v>422</v>
      </c>
      <c r="O4" s="4">
        <v>31</v>
      </c>
    </row>
    <row r="5" spans="1:15" x14ac:dyDescent="0.45">
      <c r="A5" s="3" t="s">
        <v>39</v>
      </c>
      <c r="B5" s="5">
        <v>81.25</v>
      </c>
      <c r="D5" s="3" t="s">
        <v>416</v>
      </c>
      <c r="E5" s="5">
        <v>83.31343283582089</v>
      </c>
      <c r="G5" s="3" t="s">
        <v>23</v>
      </c>
      <c r="H5" s="5">
        <v>91.4375</v>
      </c>
      <c r="I5" s="6">
        <v>92.3125</v>
      </c>
      <c r="K5" s="3" t="s">
        <v>169</v>
      </c>
      <c r="L5" s="5">
        <v>92</v>
      </c>
      <c r="N5" s="3" t="s">
        <v>423</v>
      </c>
      <c r="O5" s="4">
        <v>36</v>
      </c>
    </row>
    <row r="6" spans="1:15" x14ac:dyDescent="0.45">
      <c r="A6" s="3" t="s">
        <v>60</v>
      </c>
      <c r="B6" s="5">
        <v>81</v>
      </c>
      <c r="G6" s="3" t="s">
        <v>12</v>
      </c>
      <c r="H6" s="5">
        <v>86.588235294117652</v>
      </c>
      <c r="I6" s="6">
        <v>87.82352941176471</v>
      </c>
      <c r="K6" s="3" t="s">
        <v>32</v>
      </c>
      <c r="L6" s="5">
        <v>92</v>
      </c>
      <c r="N6" s="3" t="s">
        <v>416</v>
      </c>
      <c r="O6" s="4">
        <v>67</v>
      </c>
    </row>
    <row r="7" spans="1:15" x14ac:dyDescent="0.45">
      <c r="A7" s="3" t="s">
        <v>81</v>
      </c>
      <c r="B7" s="5">
        <v>84.428571428571431</v>
      </c>
      <c r="G7" s="3" t="s">
        <v>17</v>
      </c>
      <c r="H7" s="5">
        <v>75.166666666666671</v>
      </c>
      <c r="I7" s="6">
        <v>77.111111111111114</v>
      </c>
      <c r="K7" s="3" t="s">
        <v>218</v>
      </c>
      <c r="L7" s="5">
        <v>92</v>
      </c>
    </row>
    <row r="8" spans="1:15" x14ac:dyDescent="0.45">
      <c r="A8" s="3" t="s">
        <v>122</v>
      </c>
      <c r="B8" s="5">
        <v>83</v>
      </c>
      <c r="G8" s="3" t="s">
        <v>416</v>
      </c>
      <c r="H8" s="5">
        <v>83.31343283582089</v>
      </c>
      <c r="I8" s="6">
        <v>84.850746268656721</v>
      </c>
      <c r="K8" s="3" t="s">
        <v>144</v>
      </c>
      <c r="L8" s="5">
        <v>91</v>
      </c>
    </row>
    <row r="9" spans="1:15" x14ac:dyDescent="0.45">
      <c r="A9" s="3" t="s">
        <v>163</v>
      </c>
      <c r="B9" s="5">
        <v>82.714285714285708</v>
      </c>
      <c r="K9" s="3" t="s">
        <v>83</v>
      </c>
      <c r="L9" s="5">
        <v>91</v>
      </c>
    </row>
    <row r="10" spans="1:15" x14ac:dyDescent="0.45">
      <c r="A10" s="3" t="s">
        <v>204</v>
      </c>
      <c r="B10" s="5">
        <v>85</v>
      </c>
      <c r="K10" s="3" t="s">
        <v>357</v>
      </c>
      <c r="L10" s="5">
        <v>92</v>
      </c>
    </row>
    <row r="11" spans="1:15" x14ac:dyDescent="0.45">
      <c r="A11" s="3" t="s">
        <v>243</v>
      </c>
      <c r="B11" s="5">
        <v>82.166666666666671</v>
      </c>
      <c r="K11" s="3" t="s">
        <v>288</v>
      </c>
      <c r="L11" s="5">
        <v>91</v>
      </c>
    </row>
    <row r="12" spans="1:15" x14ac:dyDescent="0.45">
      <c r="A12" s="3" t="s">
        <v>282</v>
      </c>
      <c r="B12" s="5">
        <v>82.571428571428569</v>
      </c>
      <c r="K12" s="3" t="s">
        <v>263</v>
      </c>
      <c r="L12" s="5">
        <v>92</v>
      </c>
    </row>
    <row r="13" spans="1:15" x14ac:dyDescent="0.45">
      <c r="A13" s="3" t="s">
        <v>323</v>
      </c>
      <c r="B13" s="5">
        <v>84.571428571428569</v>
      </c>
      <c r="K13" s="3" t="s">
        <v>119</v>
      </c>
      <c r="L13" s="5">
        <v>93</v>
      </c>
    </row>
    <row r="14" spans="1:15" x14ac:dyDescent="0.45">
      <c r="A14" s="3" t="s">
        <v>360</v>
      </c>
      <c r="B14" s="5">
        <v>82.166666666666671</v>
      </c>
      <c r="K14" s="3" t="s">
        <v>336</v>
      </c>
      <c r="L14" s="5">
        <v>91</v>
      </c>
    </row>
    <row r="15" spans="1:15" x14ac:dyDescent="0.45">
      <c r="A15" s="3" t="s">
        <v>398</v>
      </c>
      <c r="B15" s="5">
        <v>83.75</v>
      </c>
      <c r="K15" s="3" t="s">
        <v>240</v>
      </c>
      <c r="L15" s="5">
        <v>91</v>
      </c>
    </row>
    <row r="16" spans="1:15" x14ac:dyDescent="0.45">
      <c r="A16" s="3" t="s">
        <v>416</v>
      </c>
      <c r="B16" s="5">
        <v>83.31343283582089</v>
      </c>
      <c r="K16" s="3" t="s">
        <v>381</v>
      </c>
      <c r="L16" s="5">
        <v>91</v>
      </c>
    </row>
    <row r="17" spans="11:12" x14ac:dyDescent="0.45">
      <c r="K17" s="3" t="s">
        <v>193</v>
      </c>
      <c r="L17" s="5">
        <v>91</v>
      </c>
    </row>
    <row r="18" spans="11:12" x14ac:dyDescent="0.45">
      <c r="K18" s="3" t="s">
        <v>402</v>
      </c>
      <c r="L18" s="5">
        <v>92</v>
      </c>
    </row>
    <row r="19" spans="11:12" x14ac:dyDescent="0.45">
      <c r="K19" s="3" t="s">
        <v>416</v>
      </c>
      <c r="L19" s="5">
        <v>93</v>
      </c>
    </row>
  </sheetData>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4EE8-C788-47BE-A893-116A4994FAF2}">
  <dimension ref="J9"/>
  <sheetViews>
    <sheetView showGridLines="0" showRowColHeaders="0" tabSelected="1" zoomScale="55" zoomScaleNormal="55" workbookViewId="0">
      <selection activeCell="AI19" sqref="AI19"/>
    </sheetView>
  </sheetViews>
  <sheetFormatPr defaultRowHeight="14.25" x14ac:dyDescent="0.45"/>
  <cols>
    <col min="9" max="9" width="15.265625" customWidth="1"/>
    <col min="15" max="15" width="15" customWidth="1"/>
  </cols>
  <sheetData>
    <row r="9" spans="10:10" x14ac:dyDescent="0.45">
      <c r="J9" s="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C4C8-5E5B-4D26-8147-B9A672799C10}">
  <dimension ref="A1:J201"/>
  <sheetViews>
    <sheetView workbookViewId="0">
      <selection activeCell="G2" sqref="G2:G201"/>
    </sheetView>
  </sheetViews>
  <sheetFormatPr defaultRowHeight="14.25" x14ac:dyDescent="0.45"/>
  <cols>
    <col min="1" max="1" width="13.19921875" customWidth="1"/>
    <col min="3" max="3" width="14.265625" customWidth="1"/>
    <col min="4" max="4" width="10.73046875" customWidth="1"/>
    <col min="5" max="5" width="16.3984375" customWidth="1"/>
    <col min="6" max="6" width="21.33203125" customWidth="1"/>
    <col min="7" max="7" width="16.3984375" customWidth="1"/>
    <col min="8" max="8" width="17.1328125" customWidth="1"/>
    <col min="9" max="9" width="12.265625" customWidth="1"/>
    <col min="10" max="10" width="21.1328125" customWidth="1"/>
  </cols>
  <sheetData>
    <row r="1" spans="1:10" x14ac:dyDescent="0.45">
      <c r="A1" s="1" t="s">
        <v>0</v>
      </c>
      <c r="B1" s="1" t="s">
        <v>1</v>
      </c>
      <c r="C1" s="1" t="s">
        <v>2</v>
      </c>
      <c r="D1" s="1" t="s">
        <v>3</v>
      </c>
      <c r="E1" s="1" t="s">
        <v>4</v>
      </c>
      <c r="F1" s="1" t="s">
        <v>5</v>
      </c>
      <c r="G1" s="1" t="s">
        <v>6</v>
      </c>
      <c r="H1" s="1" t="s">
        <v>7</v>
      </c>
      <c r="I1" s="1" t="s">
        <v>8</v>
      </c>
      <c r="J1" s="1" t="s">
        <v>421</v>
      </c>
    </row>
    <row r="2" spans="1:10" x14ac:dyDescent="0.45">
      <c r="A2" s="1" t="s">
        <v>9</v>
      </c>
      <c r="B2" s="1" t="s">
        <v>10</v>
      </c>
      <c r="C2" s="1" t="s">
        <v>11</v>
      </c>
      <c r="D2" s="1" t="s">
        <v>12</v>
      </c>
      <c r="E2" s="1">
        <v>88</v>
      </c>
      <c r="F2" s="1">
        <v>75</v>
      </c>
      <c r="G2" s="1">
        <v>81</v>
      </c>
      <c r="H2" s="1">
        <v>3</v>
      </c>
      <c r="I2" s="1" t="s">
        <v>13</v>
      </c>
      <c r="J2" s="1" t="str">
        <f t="shared" ref="J2:J33" si="0">IF(G2&gt;=85,"Excellent",IF(G2&gt;=70,"Good","Needs Improvement"))</f>
        <v>Good</v>
      </c>
    </row>
    <row r="3" spans="1:10" x14ac:dyDescent="0.45">
      <c r="A3" s="1" t="s">
        <v>14</v>
      </c>
      <c r="B3" s="1" t="s">
        <v>15</v>
      </c>
      <c r="C3" s="1" t="s">
        <v>16</v>
      </c>
      <c r="D3" s="1" t="s">
        <v>17</v>
      </c>
      <c r="E3" s="1">
        <v>92</v>
      </c>
      <c r="F3" s="1">
        <v>84</v>
      </c>
      <c r="G3" s="1">
        <v>90</v>
      </c>
      <c r="H3" s="1">
        <v>4</v>
      </c>
      <c r="I3" s="1" t="s">
        <v>13</v>
      </c>
      <c r="J3" s="1" t="str">
        <f t="shared" si="0"/>
        <v>Excellent</v>
      </c>
    </row>
    <row r="4" spans="1:10" x14ac:dyDescent="0.45">
      <c r="A4" s="1" t="s">
        <v>18</v>
      </c>
      <c r="B4" s="1" t="s">
        <v>19</v>
      </c>
      <c r="C4" s="1" t="s">
        <v>20</v>
      </c>
      <c r="D4" s="1" t="s">
        <v>12</v>
      </c>
      <c r="E4" s="1">
        <v>76</v>
      </c>
      <c r="F4" s="1">
        <v>65</v>
      </c>
      <c r="G4" s="1">
        <v>70</v>
      </c>
      <c r="H4" s="1">
        <v>2</v>
      </c>
      <c r="I4" s="1" t="s">
        <v>13</v>
      </c>
      <c r="J4" s="1" t="str">
        <f t="shared" si="0"/>
        <v>Good</v>
      </c>
    </row>
    <row r="5" spans="1:10" x14ac:dyDescent="0.45">
      <c r="A5" s="1" t="s">
        <v>21</v>
      </c>
      <c r="B5" s="1" t="s">
        <v>22</v>
      </c>
      <c r="C5" s="1" t="s">
        <v>11</v>
      </c>
      <c r="D5" s="1" t="s">
        <v>23</v>
      </c>
      <c r="E5" s="1">
        <v>95</v>
      </c>
      <c r="F5" s="1">
        <v>90</v>
      </c>
      <c r="G5" s="1">
        <v>94</v>
      </c>
      <c r="H5" s="1">
        <v>5</v>
      </c>
      <c r="I5" s="1" t="s">
        <v>13</v>
      </c>
      <c r="J5" s="1" t="str">
        <f t="shared" si="0"/>
        <v>Excellent</v>
      </c>
    </row>
    <row r="6" spans="1:10" x14ac:dyDescent="0.45">
      <c r="A6" s="1" t="s">
        <v>24</v>
      </c>
      <c r="B6" s="1" t="s">
        <v>25</v>
      </c>
      <c r="C6" s="1" t="s">
        <v>16</v>
      </c>
      <c r="D6" s="1" t="s">
        <v>26</v>
      </c>
      <c r="E6" s="1">
        <v>81</v>
      </c>
      <c r="F6" s="1">
        <v>72</v>
      </c>
      <c r="G6" s="1">
        <v>78</v>
      </c>
      <c r="H6" s="1">
        <v>3</v>
      </c>
      <c r="I6" s="1" t="s">
        <v>13</v>
      </c>
      <c r="J6" s="1" t="str">
        <f t="shared" si="0"/>
        <v>Good</v>
      </c>
    </row>
    <row r="7" spans="1:10" x14ac:dyDescent="0.45">
      <c r="A7" s="1" t="s">
        <v>27</v>
      </c>
      <c r="B7" s="1" t="s">
        <v>28</v>
      </c>
      <c r="C7" s="1" t="s">
        <v>20</v>
      </c>
      <c r="D7" s="1" t="s">
        <v>12</v>
      </c>
      <c r="E7" s="1">
        <v>85</v>
      </c>
      <c r="F7" s="1">
        <v>80</v>
      </c>
      <c r="G7" s="1">
        <v>83</v>
      </c>
      <c r="H7" s="1">
        <v>4</v>
      </c>
      <c r="I7" s="1" t="s">
        <v>13</v>
      </c>
      <c r="J7" s="1" t="str">
        <f t="shared" si="0"/>
        <v>Good</v>
      </c>
    </row>
    <row r="8" spans="1:10" x14ac:dyDescent="0.45">
      <c r="A8" s="1" t="s">
        <v>29</v>
      </c>
      <c r="B8" s="1" t="s">
        <v>30</v>
      </c>
      <c r="C8" s="1" t="s">
        <v>11</v>
      </c>
      <c r="D8" s="1" t="s">
        <v>17</v>
      </c>
      <c r="E8" s="1">
        <v>69</v>
      </c>
      <c r="F8" s="1">
        <v>60</v>
      </c>
      <c r="G8" s="1">
        <v>65</v>
      </c>
      <c r="H8" s="1">
        <v>2</v>
      </c>
      <c r="I8" s="1" t="s">
        <v>13</v>
      </c>
      <c r="J8" s="1" t="str">
        <f t="shared" si="0"/>
        <v>Needs Improvement</v>
      </c>
    </row>
    <row r="9" spans="1:10" x14ac:dyDescent="0.45">
      <c r="A9" s="1" t="s">
        <v>31</v>
      </c>
      <c r="B9" s="1" t="s">
        <v>32</v>
      </c>
      <c r="C9" s="1" t="s">
        <v>16</v>
      </c>
      <c r="D9" s="1" t="s">
        <v>23</v>
      </c>
      <c r="E9" s="1">
        <v>91</v>
      </c>
      <c r="F9" s="1">
        <v>88</v>
      </c>
      <c r="G9" s="1">
        <v>92</v>
      </c>
      <c r="H9" s="1">
        <v>5</v>
      </c>
      <c r="I9" s="1" t="s">
        <v>13</v>
      </c>
      <c r="J9" s="1" t="str">
        <f t="shared" si="0"/>
        <v>Excellent</v>
      </c>
    </row>
    <row r="10" spans="1:10" x14ac:dyDescent="0.45">
      <c r="A10" s="1" t="s">
        <v>33</v>
      </c>
      <c r="B10" s="1" t="s">
        <v>34</v>
      </c>
      <c r="C10" s="1" t="s">
        <v>20</v>
      </c>
      <c r="D10" s="1" t="s">
        <v>26</v>
      </c>
      <c r="E10" s="1">
        <v>74</v>
      </c>
      <c r="F10" s="1">
        <v>68</v>
      </c>
      <c r="G10" s="1">
        <v>72</v>
      </c>
      <c r="H10" s="1">
        <v>2</v>
      </c>
      <c r="I10" s="1" t="s">
        <v>13</v>
      </c>
      <c r="J10" s="1" t="str">
        <f t="shared" si="0"/>
        <v>Good</v>
      </c>
    </row>
    <row r="11" spans="1:10" x14ac:dyDescent="0.45">
      <c r="A11" s="1" t="s">
        <v>35</v>
      </c>
      <c r="B11" s="1" t="s">
        <v>36</v>
      </c>
      <c r="C11" s="1" t="s">
        <v>11</v>
      </c>
      <c r="D11" s="1" t="s">
        <v>12</v>
      </c>
      <c r="E11" s="1">
        <v>89</v>
      </c>
      <c r="F11" s="1">
        <v>82</v>
      </c>
      <c r="G11" s="1">
        <v>85</v>
      </c>
      <c r="H11" s="1">
        <v>4</v>
      </c>
      <c r="I11" s="1" t="s">
        <v>13</v>
      </c>
      <c r="J11" s="1" t="str">
        <f t="shared" si="0"/>
        <v>Excellent</v>
      </c>
    </row>
    <row r="12" spans="1:10" x14ac:dyDescent="0.45">
      <c r="A12" s="1" t="s">
        <v>37</v>
      </c>
      <c r="B12" s="1" t="s">
        <v>38</v>
      </c>
      <c r="C12" s="1" t="s">
        <v>16</v>
      </c>
      <c r="D12" s="1" t="s">
        <v>17</v>
      </c>
      <c r="E12" s="1">
        <v>77</v>
      </c>
      <c r="F12" s="1">
        <v>71</v>
      </c>
      <c r="G12" s="1">
        <v>75</v>
      </c>
      <c r="H12" s="1">
        <v>3</v>
      </c>
      <c r="I12" s="1" t="s">
        <v>39</v>
      </c>
      <c r="J12" s="1" t="str">
        <f t="shared" si="0"/>
        <v>Good</v>
      </c>
    </row>
    <row r="13" spans="1:10" x14ac:dyDescent="0.45">
      <c r="A13" s="1" t="s">
        <v>40</v>
      </c>
      <c r="B13" s="1" t="s">
        <v>41</v>
      </c>
      <c r="C13" s="1" t="s">
        <v>20</v>
      </c>
      <c r="D13" s="1" t="s">
        <v>23</v>
      </c>
      <c r="E13" s="1">
        <v>93</v>
      </c>
      <c r="F13" s="1">
        <v>89</v>
      </c>
      <c r="G13" s="1">
        <v>91</v>
      </c>
      <c r="H13" s="1">
        <v>5</v>
      </c>
      <c r="I13" s="1" t="s">
        <v>39</v>
      </c>
      <c r="J13" s="1" t="str">
        <f t="shared" si="0"/>
        <v>Excellent</v>
      </c>
    </row>
    <row r="14" spans="1:10" x14ac:dyDescent="0.45">
      <c r="A14" s="1" t="s">
        <v>42</v>
      </c>
      <c r="B14" s="1" t="s">
        <v>43</v>
      </c>
      <c r="C14" s="1" t="s">
        <v>11</v>
      </c>
      <c r="D14" s="1" t="s">
        <v>26</v>
      </c>
      <c r="E14" s="1">
        <v>82</v>
      </c>
      <c r="F14" s="1">
        <v>76</v>
      </c>
      <c r="G14" s="1">
        <v>79</v>
      </c>
      <c r="H14" s="1">
        <v>3</v>
      </c>
      <c r="I14" s="1" t="s">
        <v>39</v>
      </c>
      <c r="J14" s="1" t="str">
        <f t="shared" si="0"/>
        <v>Good</v>
      </c>
    </row>
    <row r="15" spans="1:10" x14ac:dyDescent="0.45">
      <c r="A15" s="1" t="s">
        <v>44</v>
      </c>
      <c r="B15" s="1" t="s">
        <v>45</v>
      </c>
      <c r="C15" s="1" t="s">
        <v>16</v>
      </c>
      <c r="D15" s="1" t="s">
        <v>12</v>
      </c>
      <c r="E15" s="1">
        <v>87</v>
      </c>
      <c r="F15" s="1">
        <v>81</v>
      </c>
      <c r="G15" s="1">
        <v>84</v>
      </c>
      <c r="H15" s="1">
        <v>4</v>
      </c>
      <c r="I15" s="1" t="s">
        <v>39</v>
      </c>
      <c r="J15" s="1" t="str">
        <f t="shared" si="0"/>
        <v>Good</v>
      </c>
    </row>
    <row r="16" spans="1:10" x14ac:dyDescent="0.45">
      <c r="A16" s="1" t="s">
        <v>46</v>
      </c>
      <c r="B16" s="1" t="s">
        <v>47</v>
      </c>
      <c r="C16" s="1" t="s">
        <v>20</v>
      </c>
      <c r="D16" s="1" t="s">
        <v>17</v>
      </c>
      <c r="E16" s="1">
        <v>72</v>
      </c>
      <c r="F16" s="1">
        <v>66</v>
      </c>
      <c r="G16" s="1">
        <v>70</v>
      </c>
      <c r="H16" s="1">
        <v>2</v>
      </c>
      <c r="I16" s="1" t="s">
        <v>39</v>
      </c>
      <c r="J16" s="1" t="str">
        <f t="shared" si="0"/>
        <v>Good</v>
      </c>
    </row>
    <row r="17" spans="1:10" x14ac:dyDescent="0.45">
      <c r="A17" s="1" t="s">
        <v>48</v>
      </c>
      <c r="B17" s="1" t="s">
        <v>49</v>
      </c>
      <c r="C17" s="1" t="s">
        <v>11</v>
      </c>
      <c r="D17" s="1" t="s">
        <v>23</v>
      </c>
      <c r="E17" s="1">
        <v>96</v>
      </c>
      <c r="F17" s="1">
        <v>91</v>
      </c>
      <c r="G17" s="1">
        <v>95</v>
      </c>
      <c r="H17" s="1">
        <v>5</v>
      </c>
      <c r="I17" s="1" t="s">
        <v>39</v>
      </c>
      <c r="J17" s="1" t="str">
        <f t="shared" si="0"/>
        <v>Excellent</v>
      </c>
    </row>
    <row r="18" spans="1:10" x14ac:dyDescent="0.45">
      <c r="A18" s="1" t="s">
        <v>50</v>
      </c>
      <c r="B18" s="1" t="s">
        <v>51</v>
      </c>
      <c r="C18" s="1" t="s">
        <v>16</v>
      </c>
      <c r="D18" s="1" t="s">
        <v>26</v>
      </c>
      <c r="E18" s="1">
        <v>79</v>
      </c>
      <c r="F18" s="1">
        <v>73</v>
      </c>
      <c r="G18" s="1">
        <v>77</v>
      </c>
      <c r="H18" s="1">
        <v>3</v>
      </c>
      <c r="I18" s="1" t="s">
        <v>39</v>
      </c>
      <c r="J18" s="1" t="str">
        <f t="shared" si="0"/>
        <v>Good</v>
      </c>
    </row>
    <row r="19" spans="1:10" x14ac:dyDescent="0.45">
      <c r="A19" s="1" t="s">
        <v>52</v>
      </c>
      <c r="B19" s="1" t="s">
        <v>53</v>
      </c>
      <c r="C19" s="1" t="s">
        <v>20</v>
      </c>
      <c r="D19" s="1" t="s">
        <v>12</v>
      </c>
      <c r="E19" s="1">
        <v>84</v>
      </c>
      <c r="F19" s="1">
        <v>78</v>
      </c>
      <c r="G19" s="1">
        <v>82</v>
      </c>
      <c r="H19" s="1">
        <v>4</v>
      </c>
      <c r="I19" s="1" t="s">
        <v>39</v>
      </c>
      <c r="J19" s="1" t="str">
        <f t="shared" si="0"/>
        <v>Good</v>
      </c>
    </row>
    <row r="20" spans="1:10" x14ac:dyDescent="0.45">
      <c r="A20" s="1" t="s">
        <v>54</v>
      </c>
      <c r="B20" s="1" t="s">
        <v>55</v>
      </c>
      <c r="C20" s="1" t="s">
        <v>11</v>
      </c>
      <c r="D20" s="1" t="s">
        <v>17</v>
      </c>
      <c r="E20" s="1">
        <v>68</v>
      </c>
      <c r="F20" s="1">
        <v>61</v>
      </c>
      <c r="G20" s="1">
        <v>64</v>
      </c>
      <c r="H20" s="1">
        <v>2</v>
      </c>
      <c r="I20" s="1" t="s">
        <v>39</v>
      </c>
      <c r="J20" s="1" t="str">
        <f t="shared" si="0"/>
        <v>Needs Improvement</v>
      </c>
    </row>
    <row r="21" spans="1:10" x14ac:dyDescent="0.45">
      <c r="A21" s="1" t="s">
        <v>56</v>
      </c>
      <c r="B21" s="1" t="s">
        <v>57</v>
      </c>
      <c r="C21" s="1" t="s">
        <v>16</v>
      </c>
      <c r="D21" s="1" t="s">
        <v>23</v>
      </c>
      <c r="E21" s="1">
        <v>90</v>
      </c>
      <c r="F21" s="1">
        <v>86</v>
      </c>
      <c r="G21" s="1">
        <v>89</v>
      </c>
      <c r="H21" s="1">
        <v>5</v>
      </c>
      <c r="I21" s="1" t="s">
        <v>39</v>
      </c>
      <c r="J21" s="1" t="str">
        <f t="shared" si="0"/>
        <v>Excellent</v>
      </c>
    </row>
    <row r="22" spans="1:10" x14ac:dyDescent="0.45">
      <c r="A22" s="1" t="s">
        <v>58</v>
      </c>
      <c r="B22" s="1" t="s">
        <v>59</v>
      </c>
      <c r="C22" s="1" t="s">
        <v>20</v>
      </c>
      <c r="D22" s="1" t="s">
        <v>26</v>
      </c>
      <c r="E22" s="1">
        <v>75</v>
      </c>
      <c r="F22" s="1">
        <v>69</v>
      </c>
      <c r="G22" s="1">
        <v>73</v>
      </c>
      <c r="H22" s="1">
        <v>2</v>
      </c>
      <c r="I22" s="1" t="s">
        <v>60</v>
      </c>
      <c r="J22" s="1" t="str">
        <f t="shared" si="0"/>
        <v>Good</v>
      </c>
    </row>
    <row r="23" spans="1:10" x14ac:dyDescent="0.45">
      <c r="A23" s="1" t="s">
        <v>61</v>
      </c>
      <c r="B23" s="1" t="s">
        <v>62</v>
      </c>
      <c r="C23" s="1" t="s">
        <v>11</v>
      </c>
      <c r="D23" s="1" t="s">
        <v>12</v>
      </c>
      <c r="E23" s="1">
        <v>88</v>
      </c>
      <c r="F23" s="1">
        <v>83</v>
      </c>
      <c r="G23" s="1">
        <v>86</v>
      </c>
      <c r="H23" s="1">
        <v>4</v>
      </c>
      <c r="I23" s="1" t="s">
        <v>60</v>
      </c>
      <c r="J23" s="1" t="str">
        <f t="shared" si="0"/>
        <v>Excellent</v>
      </c>
    </row>
    <row r="24" spans="1:10" x14ac:dyDescent="0.45">
      <c r="A24" s="1" t="s">
        <v>63</v>
      </c>
      <c r="B24" s="1" t="s">
        <v>64</v>
      </c>
      <c r="C24" s="1" t="s">
        <v>16</v>
      </c>
      <c r="D24" s="1" t="s">
        <v>17</v>
      </c>
      <c r="E24" s="1">
        <v>80</v>
      </c>
      <c r="F24" s="1">
        <v>74</v>
      </c>
      <c r="G24" s="1">
        <v>78</v>
      </c>
      <c r="H24" s="1">
        <v>3</v>
      </c>
      <c r="I24" s="1" t="s">
        <v>60</v>
      </c>
      <c r="J24" s="1" t="str">
        <f t="shared" si="0"/>
        <v>Good</v>
      </c>
    </row>
    <row r="25" spans="1:10" x14ac:dyDescent="0.45">
      <c r="A25" s="1" t="s">
        <v>65</v>
      </c>
      <c r="B25" s="1" t="s">
        <v>66</v>
      </c>
      <c r="C25" s="1" t="s">
        <v>20</v>
      </c>
      <c r="D25" s="1" t="s">
        <v>23</v>
      </c>
      <c r="E25" s="1">
        <v>94</v>
      </c>
      <c r="F25" s="1">
        <v>90</v>
      </c>
      <c r="G25" s="1">
        <v>93</v>
      </c>
      <c r="H25" s="1">
        <v>5</v>
      </c>
      <c r="I25" s="1" t="s">
        <v>60</v>
      </c>
      <c r="J25" s="1" t="str">
        <f t="shared" si="0"/>
        <v>Excellent</v>
      </c>
    </row>
    <row r="26" spans="1:10" x14ac:dyDescent="0.45">
      <c r="A26" s="1" t="s">
        <v>67</v>
      </c>
      <c r="B26" s="1" t="s">
        <v>68</v>
      </c>
      <c r="C26" s="1" t="s">
        <v>11</v>
      </c>
      <c r="D26" s="1" t="s">
        <v>26</v>
      </c>
      <c r="E26" s="1">
        <v>78</v>
      </c>
      <c r="F26" s="1">
        <v>72</v>
      </c>
      <c r="G26" s="1">
        <v>76</v>
      </c>
      <c r="H26" s="1">
        <v>3</v>
      </c>
      <c r="I26" s="1" t="s">
        <v>60</v>
      </c>
      <c r="J26" s="1" t="str">
        <f t="shared" si="0"/>
        <v>Good</v>
      </c>
    </row>
    <row r="27" spans="1:10" x14ac:dyDescent="0.45">
      <c r="A27" s="1" t="s">
        <v>69</v>
      </c>
      <c r="B27" s="1" t="s">
        <v>70</v>
      </c>
      <c r="C27" s="1" t="s">
        <v>16</v>
      </c>
      <c r="D27" s="1" t="s">
        <v>12</v>
      </c>
      <c r="E27" s="1">
        <v>86</v>
      </c>
      <c r="F27" s="1">
        <v>80</v>
      </c>
      <c r="G27" s="1">
        <v>84</v>
      </c>
      <c r="H27" s="1">
        <v>4</v>
      </c>
      <c r="I27" s="1" t="s">
        <v>60</v>
      </c>
      <c r="J27" s="1" t="str">
        <f t="shared" si="0"/>
        <v>Good</v>
      </c>
    </row>
    <row r="28" spans="1:10" x14ac:dyDescent="0.45">
      <c r="A28" s="1" t="s">
        <v>71</v>
      </c>
      <c r="B28" s="1" t="s">
        <v>72</v>
      </c>
      <c r="C28" s="1" t="s">
        <v>20</v>
      </c>
      <c r="D28" s="1" t="s">
        <v>17</v>
      </c>
      <c r="E28" s="1">
        <v>71</v>
      </c>
      <c r="F28" s="1">
        <v>64</v>
      </c>
      <c r="G28" s="1">
        <v>68</v>
      </c>
      <c r="H28" s="1">
        <v>2</v>
      </c>
      <c r="I28" s="1" t="s">
        <v>60</v>
      </c>
      <c r="J28" s="1" t="str">
        <f t="shared" si="0"/>
        <v>Needs Improvement</v>
      </c>
    </row>
    <row r="29" spans="1:10" x14ac:dyDescent="0.45">
      <c r="A29" s="1" t="s">
        <v>73</v>
      </c>
      <c r="B29" s="1" t="s">
        <v>74</v>
      </c>
      <c r="C29" s="1" t="s">
        <v>11</v>
      </c>
      <c r="D29" s="1" t="s">
        <v>23</v>
      </c>
      <c r="E29" s="1">
        <v>97</v>
      </c>
      <c r="F29" s="1">
        <v>92</v>
      </c>
      <c r="G29" s="1">
        <v>96</v>
      </c>
      <c r="H29" s="1">
        <v>5</v>
      </c>
      <c r="I29" s="1" t="s">
        <v>60</v>
      </c>
      <c r="J29" s="1" t="str">
        <f t="shared" si="0"/>
        <v>Excellent</v>
      </c>
    </row>
    <row r="30" spans="1:10" x14ac:dyDescent="0.45">
      <c r="A30" s="1" t="s">
        <v>75</v>
      </c>
      <c r="B30" s="1" t="s">
        <v>76</v>
      </c>
      <c r="C30" s="1" t="s">
        <v>16</v>
      </c>
      <c r="D30" s="1" t="s">
        <v>26</v>
      </c>
      <c r="E30" s="1">
        <v>83</v>
      </c>
      <c r="F30" s="1">
        <v>77</v>
      </c>
      <c r="G30" s="1">
        <v>81</v>
      </c>
      <c r="H30" s="1">
        <v>3</v>
      </c>
      <c r="I30" s="1" t="s">
        <v>60</v>
      </c>
      <c r="J30" s="1" t="str">
        <f t="shared" si="0"/>
        <v>Good</v>
      </c>
    </row>
    <row r="31" spans="1:10" x14ac:dyDescent="0.45">
      <c r="A31" s="1" t="s">
        <v>77</v>
      </c>
      <c r="B31" s="1" t="s">
        <v>78</v>
      </c>
      <c r="C31" s="1" t="s">
        <v>20</v>
      </c>
      <c r="D31" s="1" t="s">
        <v>12</v>
      </c>
      <c r="E31" s="1">
        <v>89</v>
      </c>
      <c r="F31" s="1">
        <v>85</v>
      </c>
      <c r="G31" s="1">
        <v>88</v>
      </c>
      <c r="H31" s="1">
        <v>4</v>
      </c>
      <c r="I31" s="1" t="s">
        <v>60</v>
      </c>
      <c r="J31" s="1" t="str">
        <f t="shared" si="0"/>
        <v>Excellent</v>
      </c>
    </row>
    <row r="32" spans="1:10" x14ac:dyDescent="0.45">
      <c r="A32" s="1" t="s">
        <v>79</v>
      </c>
      <c r="B32" s="1" t="s">
        <v>80</v>
      </c>
      <c r="C32" s="1" t="s">
        <v>11</v>
      </c>
      <c r="D32" s="1" t="s">
        <v>17</v>
      </c>
      <c r="E32" s="1">
        <v>73</v>
      </c>
      <c r="F32" s="1">
        <v>67</v>
      </c>
      <c r="G32" s="1">
        <v>71</v>
      </c>
      <c r="H32" s="1">
        <v>2</v>
      </c>
      <c r="I32" s="1" t="s">
        <v>81</v>
      </c>
      <c r="J32" s="1" t="str">
        <f t="shared" si="0"/>
        <v>Good</v>
      </c>
    </row>
    <row r="33" spans="1:10" x14ac:dyDescent="0.45">
      <c r="A33" s="1" t="s">
        <v>82</v>
      </c>
      <c r="B33" s="1" t="s">
        <v>83</v>
      </c>
      <c r="C33" s="1" t="s">
        <v>16</v>
      </c>
      <c r="D33" s="1" t="s">
        <v>23</v>
      </c>
      <c r="E33" s="1">
        <v>92</v>
      </c>
      <c r="F33" s="1">
        <v>88</v>
      </c>
      <c r="G33" s="1">
        <v>91</v>
      </c>
      <c r="H33" s="1">
        <v>5</v>
      </c>
      <c r="I33" s="1" t="s">
        <v>81</v>
      </c>
      <c r="J33" s="1" t="str">
        <f t="shared" si="0"/>
        <v>Excellent</v>
      </c>
    </row>
    <row r="34" spans="1:10" x14ac:dyDescent="0.45">
      <c r="A34" s="1" t="s">
        <v>84</v>
      </c>
      <c r="B34" s="1" t="s">
        <v>85</v>
      </c>
      <c r="C34" s="1" t="s">
        <v>20</v>
      </c>
      <c r="D34" s="1" t="s">
        <v>26</v>
      </c>
      <c r="E34" s="1">
        <v>81</v>
      </c>
      <c r="F34" s="1">
        <v>75</v>
      </c>
      <c r="G34" s="1">
        <v>79</v>
      </c>
      <c r="H34" s="1">
        <v>3</v>
      </c>
      <c r="I34" s="1" t="s">
        <v>81</v>
      </c>
      <c r="J34" s="1" t="str">
        <f t="shared" ref="J34:J65" si="1">IF(G34&gt;=85,"Excellent",IF(G34&gt;=70,"Good","Needs Improvement"))</f>
        <v>Good</v>
      </c>
    </row>
    <row r="35" spans="1:10" x14ac:dyDescent="0.45">
      <c r="A35" s="1" t="s">
        <v>86</v>
      </c>
      <c r="B35" s="1" t="s">
        <v>87</v>
      </c>
      <c r="C35" s="1" t="s">
        <v>11</v>
      </c>
      <c r="D35" s="1" t="s">
        <v>12</v>
      </c>
      <c r="E35" s="1">
        <v>87</v>
      </c>
      <c r="F35" s="1">
        <v>82</v>
      </c>
      <c r="G35" s="1">
        <v>85</v>
      </c>
      <c r="H35" s="1">
        <v>4</v>
      </c>
      <c r="I35" s="1" t="s">
        <v>81</v>
      </c>
      <c r="J35" s="1" t="str">
        <f t="shared" si="1"/>
        <v>Excellent</v>
      </c>
    </row>
    <row r="36" spans="1:10" x14ac:dyDescent="0.45">
      <c r="A36" s="1" t="s">
        <v>88</v>
      </c>
      <c r="B36" s="1" t="s">
        <v>89</v>
      </c>
      <c r="C36" s="1" t="s">
        <v>16</v>
      </c>
      <c r="D36" s="1" t="s">
        <v>17</v>
      </c>
      <c r="E36" s="1">
        <v>76</v>
      </c>
      <c r="F36" s="1">
        <v>70</v>
      </c>
      <c r="G36" s="1">
        <v>74</v>
      </c>
      <c r="H36" s="1">
        <v>3</v>
      </c>
      <c r="I36" s="1" t="s">
        <v>81</v>
      </c>
      <c r="J36" s="1" t="str">
        <f t="shared" si="1"/>
        <v>Good</v>
      </c>
    </row>
    <row r="37" spans="1:10" x14ac:dyDescent="0.45">
      <c r="A37" s="1" t="s">
        <v>90</v>
      </c>
      <c r="B37" s="1" t="s">
        <v>91</v>
      </c>
      <c r="C37" s="1" t="s">
        <v>20</v>
      </c>
      <c r="D37" s="1" t="s">
        <v>23</v>
      </c>
      <c r="E37" s="1">
        <v>95</v>
      </c>
      <c r="F37" s="1">
        <v>91</v>
      </c>
      <c r="G37" s="1">
        <v>94</v>
      </c>
      <c r="H37" s="1">
        <v>5</v>
      </c>
      <c r="I37" s="1" t="s">
        <v>81</v>
      </c>
      <c r="J37" s="1" t="str">
        <f t="shared" si="1"/>
        <v>Excellent</v>
      </c>
    </row>
    <row r="38" spans="1:10" x14ac:dyDescent="0.45">
      <c r="A38" s="1" t="s">
        <v>92</v>
      </c>
      <c r="B38" s="1" t="s">
        <v>93</v>
      </c>
      <c r="C38" s="1" t="s">
        <v>11</v>
      </c>
      <c r="D38" s="1" t="s">
        <v>26</v>
      </c>
      <c r="E38" s="1">
        <v>79</v>
      </c>
      <c r="F38" s="1">
        <v>73</v>
      </c>
      <c r="G38" s="1">
        <v>77</v>
      </c>
      <c r="H38" s="1">
        <v>3</v>
      </c>
      <c r="I38" s="1" t="s">
        <v>81</v>
      </c>
      <c r="J38" s="1" t="str">
        <f t="shared" si="1"/>
        <v>Good</v>
      </c>
    </row>
    <row r="39" spans="1:10" x14ac:dyDescent="0.45">
      <c r="A39" s="1" t="s">
        <v>94</v>
      </c>
      <c r="B39" s="1" t="s">
        <v>95</v>
      </c>
      <c r="C39" s="1" t="s">
        <v>16</v>
      </c>
      <c r="D39" s="1" t="s">
        <v>12</v>
      </c>
      <c r="E39" s="1">
        <v>84</v>
      </c>
      <c r="F39" s="1">
        <v>79</v>
      </c>
      <c r="G39" s="1">
        <v>83</v>
      </c>
      <c r="H39" s="1">
        <v>4</v>
      </c>
      <c r="I39" s="1" t="s">
        <v>81</v>
      </c>
      <c r="J39" s="1" t="str">
        <f t="shared" si="1"/>
        <v>Good</v>
      </c>
    </row>
    <row r="40" spans="1:10" x14ac:dyDescent="0.45">
      <c r="A40" s="1" t="s">
        <v>96</v>
      </c>
      <c r="B40" s="1" t="s">
        <v>97</v>
      </c>
      <c r="C40" s="1" t="s">
        <v>20</v>
      </c>
      <c r="D40" s="1" t="s">
        <v>17</v>
      </c>
      <c r="E40" s="1">
        <v>70</v>
      </c>
      <c r="F40" s="1">
        <v>63</v>
      </c>
      <c r="G40" s="1">
        <v>67</v>
      </c>
      <c r="H40" s="1">
        <v>2</v>
      </c>
      <c r="I40" s="1" t="s">
        <v>81</v>
      </c>
      <c r="J40" s="1" t="str">
        <f t="shared" si="1"/>
        <v>Needs Improvement</v>
      </c>
    </row>
    <row r="41" spans="1:10" x14ac:dyDescent="0.45">
      <c r="A41" s="1" t="s">
        <v>98</v>
      </c>
      <c r="B41" s="1" t="s">
        <v>99</v>
      </c>
      <c r="C41" s="1" t="s">
        <v>11</v>
      </c>
      <c r="D41" s="1" t="s">
        <v>23</v>
      </c>
      <c r="E41" s="1">
        <v>98</v>
      </c>
      <c r="F41" s="1">
        <v>94</v>
      </c>
      <c r="G41" s="1">
        <v>97</v>
      </c>
      <c r="H41" s="1">
        <v>5</v>
      </c>
      <c r="I41" s="1" t="s">
        <v>81</v>
      </c>
      <c r="J41" s="1" t="str">
        <f t="shared" si="1"/>
        <v>Excellent</v>
      </c>
    </row>
    <row r="42" spans="1:10" x14ac:dyDescent="0.45">
      <c r="A42" s="1" t="s">
        <v>100</v>
      </c>
      <c r="B42" s="1" t="s">
        <v>101</v>
      </c>
      <c r="C42" s="1" t="s">
        <v>16</v>
      </c>
      <c r="D42" s="1" t="s">
        <v>12</v>
      </c>
      <c r="E42" s="1">
        <v>85</v>
      </c>
      <c r="F42" s="1">
        <v>79</v>
      </c>
      <c r="G42" s="1">
        <v>83</v>
      </c>
      <c r="H42" s="1">
        <v>4</v>
      </c>
      <c r="I42" s="1" t="s">
        <v>81</v>
      </c>
      <c r="J42" s="1" t="str">
        <f t="shared" si="1"/>
        <v>Good</v>
      </c>
    </row>
    <row r="43" spans="1:10" x14ac:dyDescent="0.45">
      <c r="A43" s="1" t="s">
        <v>102</v>
      </c>
      <c r="B43" s="1" t="s">
        <v>103</v>
      </c>
      <c r="C43" s="1" t="s">
        <v>20</v>
      </c>
      <c r="D43" s="1" t="s">
        <v>23</v>
      </c>
      <c r="E43" s="1">
        <v>93</v>
      </c>
      <c r="F43" s="1">
        <v>89</v>
      </c>
      <c r="G43" s="1">
        <v>92</v>
      </c>
      <c r="H43" s="1">
        <v>5</v>
      </c>
      <c r="I43" s="1" t="s">
        <v>81</v>
      </c>
      <c r="J43" s="1" t="str">
        <f t="shared" si="1"/>
        <v>Excellent</v>
      </c>
    </row>
    <row r="44" spans="1:10" x14ac:dyDescent="0.45">
      <c r="A44" s="1" t="s">
        <v>104</v>
      </c>
      <c r="B44" s="1" t="s">
        <v>105</v>
      </c>
      <c r="C44" s="1" t="s">
        <v>11</v>
      </c>
      <c r="D44" s="1" t="s">
        <v>26</v>
      </c>
      <c r="E44" s="1">
        <v>77</v>
      </c>
      <c r="F44" s="1">
        <v>71</v>
      </c>
      <c r="G44" s="1">
        <v>75</v>
      </c>
      <c r="H44" s="1">
        <v>3</v>
      </c>
      <c r="I44" s="1" t="s">
        <v>81</v>
      </c>
      <c r="J44" s="1" t="str">
        <f t="shared" si="1"/>
        <v>Good</v>
      </c>
    </row>
    <row r="45" spans="1:10" x14ac:dyDescent="0.45">
      <c r="A45" s="1" t="s">
        <v>106</v>
      </c>
      <c r="B45" s="1" t="s">
        <v>107</v>
      </c>
      <c r="C45" s="1" t="s">
        <v>16</v>
      </c>
      <c r="D45" s="1" t="s">
        <v>17</v>
      </c>
      <c r="E45" s="1">
        <v>88</v>
      </c>
      <c r="F45" s="1">
        <v>84</v>
      </c>
      <c r="G45" s="1">
        <v>87</v>
      </c>
      <c r="H45" s="1">
        <v>4</v>
      </c>
      <c r="I45" s="1" t="s">
        <v>81</v>
      </c>
      <c r="J45" s="1" t="str">
        <f t="shared" si="1"/>
        <v>Excellent</v>
      </c>
    </row>
    <row r="46" spans="1:10" x14ac:dyDescent="0.45">
      <c r="A46" s="1" t="s">
        <v>108</v>
      </c>
      <c r="B46" s="1" t="s">
        <v>109</v>
      </c>
      <c r="C46" s="1" t="s">
        <v>20</v>
      </c>
      <c r="D46" s="1" t="s">
        <v>12</v>
      </c>
      <c r="E46" s="1">
        <v>74</v>
      </c>
      <c r="F46" s="1">
        <v>68</v>
      </c>
      <c r="G46" s="1">
        <v>72</v>
      </c>
      <c r="H46" s="1">
        <v>2</v>
      </c>
      <c r="I46" s="1" t="s">
        <v>81</v>
      </c>
      <c r="J46" s="1" t="str">
        <f t="shared" si="1"/>
        <v>Good</v>
      </c>
    </row>
    <row r="47" spans="1:10" x14ac:dyDescent="0.45">
      <c r="A47" s="1" t="s">
        <v>110</v>
      </c>
      <c r="B47" s="1" t="s">
        <v>111</v>
      </c>
      <c r="C47" s="1" t="s">
        <v>11</v>
      </c>
      <c r="D47" s="1" t="s">
        <v>23</v>
      </c>
      <c r="E47" s="1">
        <v>96</v>
      </c>
      <c r="F47" s="1">
        <v>92</v>
      </c>
      <c r="G47" s="1">
        <v>95</v>
      </c>
      <c r="H47" s="1">
        <v>5</v>
      </c>
      <c r="I47" s="1" t="s">
        <v>81</v>
      </c>
      <c r="J47" s="1" t="str">
        <f t="shared" si="1"/>
        <v>Excellent</v>
      </c>
    </row>
    <row r="48" spans="1:10" x14ac:dyDescent="0.45">
      <c r="A48" s="1" t="s">
        <v>112</v>
      </c>
      <c r="B48" s="1" t="s">
        <v>113</v>
      </c>
      <c r="C48" s="1" t="s">
        <v>16</v>
      </c>
      <c r="D48" s="1" t="s">
        <v>26</v>
      </c>
      <c r="E48" s="1">
        <v>82</v>
      </c>
      <c r="F48" s="1">
        <v>76</v>
      </c>
      <c r="G48" s="1">
        <v>80</v>
      </c>
      <c r="H48" s="1">
        <v>3</v>
      </c>
      <c r="I48" s="1" t="s">
        <v>81</v>
      </c>
      <c r="J48" s="1" t="str">
        <f t="shared" si="1"/>
        <v>Good</v>
      </c>
    </row>
    <row r="49" spans="1:10" x14ac:dyDescent="0.45">
      <c r="A49" s="1" t="s">
        <v>114</v>
      </c>
      <c r="B49" s="1" t="s">
        <v>115</v>
      </c>
      <c r="C49" s="1" t="s">
        <v>20</v>
      </c>
      <c r="D49" s="1" t="s">
        <v>17</v>
      </c>
      <c r="E49" s="1">
        <v>79</v>
      </c>
      <c r="F49" s="1">
        <v>73</v>
      </c>
      <c r="G49" s="1">
        <v>77</v>
      </c>
      <c r="H49" s="1">
        <v>3</v>
      </c>
      <c r="I49" s="1" t="s">
        <v>81</v>
      </c>
      <c r="J49" s="1" t="str">
        <f t="shared" si="1"/>
        <v>Good</v>
      </c>
    </row>
    <row r="50" spans="1:10" x14ac:dyDescent="0.45">
      <c r="A50" s="1" t="s">
        <v>116</v>
      </c>
      <c r="B50" s="1" t="s">
        <v>117</v>
      </c>
      <c r="C50" s="1" t="s">
        <v>11</v>
      </c>
      <c r="D50" s="1" t="s">
        <v>12</v>
      </c>
      <c r="E50" s="1">
        <v>90</v>
      </c>
      <c r="F50" s="1">
        <v>86</v>
      </c>
      <c r="G50" s="1">
        <v>89</v>
      </c>
      <c r="H50" s="1">
        <v>4</v>
      </c>
      <c r="I50" s="1" t="s">
        <v>81</v>
      </c>
      <c r="J50" s="1" t="str">
        <f t="shared" si="1"/>
        <v>Excellent</v>
      </c>
    </row>
    <row r="51" spans="1:10" x14ac:dyDescent="0.45">
      <c r="A51" s="1" t="s">
        <v>118</v>
      </c>
      <c r="B51" s="1" t="s">
        <v>119</v>
      </c>
      <c r="C51" s="1" t="s">
        <v>16</v>
      </c>
      <c r="D51" s="1" t="s">
        <v>23</v>
      </c>
      <c r="E51" s="1">
        <v>94</v>
      </c>
      <c r="F51" s="1">
        <v>90</v>
      </c>
      <c r="G51" s="1">
        <v>93</v>
      </c>
      <c r="H51" s="1">
        <v>5</v>
      </c>
      <c r="I51" s="1" t="s">
        <v>81</v>
      </c>
      <c r="J51" s="1" t="str">
        <f t="shared" si="1"/>
        <v>Excellent</v>
      </c>
    </row>
    <row r="52" spans="1:10" x14ac:dyDescent="0.45">
      <c r="A52" s="1" t="s">
        <v>120</v>
      </c>
      <c r="B52" s="1" t="s">
        <v>121</v>
      </c>
      <c r="C52" s="1" t="s">
        <v>20</v>
      </c>
      <c r="D52" s="1" t="s">
        <v>26</v>
      </c>
      <c r="E52" s="1">
        <v>76</v>
      </c>
      <c r="F52" s="1">
        <v>70</v>
      </c>
      <c r="G52" s="1">
        <v>74</v>
      </c>
      <c r="H52" s="1">
        <v>2</v>
      </c>
      <c r="I52" s="1" t="s">
        <v>122</v>
      </c>
      <c r="J52" s="1" t="str">
        <f t="shared" si="1"/>
        <v>Good</v>
      </c>
    </row>
    <row r="53" spans="1:10" x14ac:dyDescent="0.45">
      <c r="A53" s="1" t="s">
        <v>123</v>
      </c>
      <c r="B53" s="1" t="s">
        <v>124</v>
      </c>
      <c r="C53" s="1" t="s">
        <v>11</v>
      </c>
      <c r="D53" s="1" t="s">
        <v>12</v>
      </c>
      <c r="E53" s="1">
        <v>87</v>
      </c>
      <c r="F53" s="1">
        <v>82</v>
      </c>
      <c r="G53" s="1">
        <v>85</v>
      </c>
      <c r="H53" s="1">
        <v>4</v>
      </c>
      <c r="I53" s="1" t="s">
        <v>122</v>
      </c>
      <c r="J53" s="1" t="str">
        <f t="shared" si="1"/>
        <v>Excellent</v>
      </c>
    </row>
    <row r="54" spans="1:10" x14ac:dyDescent="0.45">
      <c r="A54" s="1" t="s">
        <v>125</v>
      </c>
      <c r="B54" s="1" t="s">
        <v>126</v>
      </c>
      <c r="C54" s="1" t="s">
        <v>16</v>
      </c>
      <c r="D54" s="1" t="s">
        <v>17</v>
      </c>
      <c r="E54" s="1">
        <v>81</v>
      </c>
      <c r="F54" s="1">
        <v>75</v>
      </c>
      <c r="G54" s="1">
        <v>79</v>
      </c>
      <c r="H54" s="1">
        <v>3</v>
      </c>
      <c r="I54" s="1" t="s">
        <v>122</v>
      </c>
      <c r="J54" s="1" t="str">
        <f t="shared" si="1"/>
        <v>Good</v>
      </c>
    </row>
    <row r="55" spans="1:10" x14ac:dyDescent="0.45">
      <c r="A55" s="1" t="s">
        <v>127</v>
      </c>
      <c r="B55" s="1" t="s">
        <v>128</v>
      </c>
      <c r="C55" s="1" t="s">
        <v>20</v>
      </c>
      <c r="D55" s="1" t="s">
        <v>23</v>
      </c>
      <c r="E55" s="1">
        <v>95</v>
      </c>
      <c r="F55" s="1">
        <v>91</v>
      </c>
      <c r="G55" s="1">
        <v>94</v>
      </c>
      <c r="H55" s="1">
        <v>5</v>
      </c>
      <c r="I55" s="1" t="s">
        <v>122</v>
      </c>
      <c r="J55" s="1" t="str">
        <f t="shared" si="1"/>
        <v>Excellent</v>
      </c>
    </row>
    <row r="56" spans="1:10" x14ac:dyDescent="0.45">
      <c r="A56" s="1" t="s">
        <v>129</v>
      </c>
      <c r="B56" s="1" t="s">
        <v>130</v>
      </c>
      <c r="C56" s="1" t="s">
        <v>11</v>
      </c>
      <c r="D56" s="1" t="s">
        <v>26</v>
      </c>
      <c r="E56" s="1">
        <v>78</v>
      </c>
      <c r="F56" s="1">
        <v>72</v>
      </c>
      <c r="G56" s="1">
        <v>76</v>
      </c>
      <c r="H56" s="1">
        <v>3</v>
      </c>
      <c r="I56" s="1" t="s">
        <v>122</v>
      </c>
      <c r="J56" s="1" t="str">
        <f t="shared" si="1"/>
        <v>Good</v>
      </c>
    </row>
    <row r="57" spans="1:10" x14ac:dyDescent="0.45">
      <c r="A57" s="1" t="s">
        <v>131</v>
      </c>
      <c r="B57" s="1" t="s">
        <v>132</v>
      </c>
      <c r="C57" s="1" t="s">
        <v>16</v>
      </c>
      <c r="D57" s="1" t="s">
        <v>12</v>
      </c>
      <c r="E57" s="1">
        <v>89</v>
      </c>
      <c r="F57" s="1">
        <v>85</v>
      </c>
      <c r="G57" s="1">
        <v>88</v>
      </c>
      <c r="H57" s="1">
        <v>4</v>
      </c>
      <c r="I57" s="1" t="s">
        <v>122</v>
      </c>
      <c r="J57" s="1" t="str">
        <f t="shared" si="1"/>
        <v>Excellent</v>
      </c>
    </row>
    <row r="58" spans="1:10" x14ac:dyDescent="0.45">
      <c r="A58" s="1" t="s">
        <v>133</v>
      </c>
      <c r="B58" s="1" t="s">
        <v>134</v>
      </c>
      <c r="C58" s="1" t="s">
        <v>20</v>
      </c>
      <c r="D58" s="1" t="s">
        <v>17</v>
      </c>
      <c r="E58" s="1">
        <v>72</v>
      </c>
      <c r="F58" s="1">
        <v>66</v>
      </c>
      <c r="G58" s="1">
        <v>70</v>
      </c>
      <c r="H58" s="1">
        <v>2</v>
      </c>
      <c r="I58" s="1" t="s">
        <v>122</v>
      </c>
      <c r="J58" s="1" t="str">
        <f t="shared" si="1"/>
        <v>Good</v>
      </c>
    </row>
    <row r="59" spans="1:10" x14ac:dyDescent="0.45">
      <c r="A59" s="1" t="s">
        <v>135</v>
      </c>
      <c r="B59" s="1" t="s">
        <v>136</v>
      </c>
      <c r="C59" s="1" t="s">
        <v>11</v>
      </c>
      <c r="D59" s="1" t="s">
        <v>23</v>
      </c>
      <c r="E59" s="1">
        <v>97</v>
      </c>
      <c r="F59" s="1">
        <v>93</v>
      </c>
      <c r="G59" s="1">
        <v>96</v>
      </c>
      <c r="H59" s="1">
        <v>5</v>
      </c>
      <c r="I59" s="1" t="s">
        <v>122</v>
      </c>
      <c r="J59" s="1" t="str">
        <f t="shared" si="1"/>
        <v>Excellent</v>
      </c>
    </row>
    <row r="60" spans="1:10" x14ac:dyDescent="0.45">
      <c r="A60" s="1" t="s">
        <v>137</v>
      </c>
      <c r="B60" s="1" t="s">
        <v>138</v>
      </c>
      <c r="C60" s="1" t="s">
        <v>16</v>
      </c>
      <c r="D60" s="1" t="s">
        <v>26</v>
      </c>
      <c r="E60" s="1">
        <v>84</v>
      </c>
      <c r="F60" s="1">
        <v>78</v>
      </c>
      <c r="G60" s="1">
        <v>82</v>
      </c>
      <c r="H60" s="1">
        <v>3</v>
      </c>
      <c r="I60" s="1" t="s">
        <v>122</v>
      </c>
      <c r="J60" s="1" t="str">
        <f t="shared" si="1"/>
        <v>Good</v>
      </c>
    </row>
    <row r="61" spans="1:10" x14ac:dyDescent="0.45">
      <c r="A61" s="1" t="s">
        <v>139</v>
      </c>
      <c r="B61" s="1" t="s">
        <v>140</v>
      </c>
      <c r="C61" s="1" t="s">
        <v>20</v>
      </c>
      <c r="D61" s="1" t="s">
        <v>12</v>
      </c>
      <c r="E61" s="1">
        <v>91</v>
      </c>
      <c r="F61" s="1">
        <v>87</v>
      </c>
      <c r="G61" s="1">
        <v>90</v>
      </c>
      <c r="H61" s="1">
        <v>4</v>
      </c>
      <c r="I61" s="1" t="s">
        <v>122</v>
      </c>
      <c r="J61" s="1" t="str">
        <f t="shared" si="1"/>
        <v>Excellent</v>
      </c>
    </row>
    <row r="62" spans="1:10" x14ac:dyDescent="0.45">
      <c r="A62" s="1" t="s">
        <v>141</v>
      </c>
      <c r="B62" s="1" t="s">
        <v>142</v>
      </c>
      <c r="C62" s="1" t="s">
        <v>11</v>
      </c>
      <c r="D62" s="1" t="s">
        <v>17</v>
      </c>
      <c r="E62" s="1">
        <v>75</v>
      </c>
      <c r="F62" s="1">
        <v>69</v>
      </c>
      <c r="G62" s="1">
        <v>73</v>
      </c>
      <c r="H62" s="1">
        <v>2</v>
      </c>
      <c r="I62" s="1" t="s">
        <v>122</v>
      </c>
      <c r="J62" s="1" t="str">
        <f t="shared" si="1"/>
        <v>Good</v>
      </c>
    </row>
    <row r="63" spans="1:10" x14ac:dyDescent="0.45">
      <c r="A63" s="1" t="s">
        <v>143</v>
      </c>
      <c r="B63" s="1" t="s">
        <v>144</v>
      </c>
      <c r="C63" s="1" t="s">
        <v>16</v>
      </c>
      <c r="D63" s="1" t="s">
        <v>23</v>
      </c>
      <c r="E63" s="1">
        <v>92</v>
      </c>
      <c r="F63" s="1">
        <v>88</v>
      </c>
      <c r="G63" s="1">
        <v>91</v>
      </c>
      <c r="H63" s="1">
        <v>5</v>
      </c>
      <c r="I63" s="1" t="s">
        <v>122</v>
      </c>
      <c r="J63" s="1" t="str">
        <f t="shared" si="1"/>
        <v>Excellent</v>
      </c>
    </row>
    <row r="64" spans="1:10" x14ac:dyDescent="0.45">
      <c r="A64" s="1" t="s">
        <v>145</v>
      </c>
      <c r="B64" s="1" t="s">
        <v>146</v>
      </c>
      <c r="C64" s="1" t="s">
        <v>20</v>
      </c>
      <c r="D64" s="1" t="s">
        <v>26</v>
      </c>
      <c r="E64" s="1">
        <v>80</v>
      </c>
      <c r="F64" s="1">
        <v>74</v>
      </c>
      <c r="G64" s="1">
        <v>78</v>
      </c>
      <c r="H64" s="1">
        <v>3</v>
      </c>
      <c r="I64" s="1" t="s">
        <v>122</v>
      </c>
      <c r="J64" s="1" t="str">
        <f t="shared" si="1"/>
        <v>Good</v>
      </c>
    </row>
    <row r="65" spans="1:10" x14ac:dyDescent="0.45">
      <c r="A65" s="1" t="s">
        <v>147</v>
      </c>
      <c r="B65" s="1" t="s">
        <v>148</v>
      </c>
      <c r="C65" s="1" t="s">
        <v>11</v>
      </c>
      <c r="D65" s="1" t="s">
        <v>12</v>
      </c>
      <c r="E65" s="1">
        <v>86</v>
      </c>
      <c r="F65" s="1">
        <v>81</v>
      </c>
      <c r="G65" s="1">
        <v>84</v>
      </c>
      <c r="H65" s="1">
        <v>4</v>
      </c>
      <c r="I65" s="1" t="s">
        <v>122</v>
      </c>
      <c r="J65" s="1" t="str">
        <f t="shared" si="1"/>
        <v>Good</v>
      </c>
    </row>
    <row r="66" spans="1:10" x14ac:dyDescent="0.45">
      <c r="A66" s="1" t="s">
        <v>149</v>
      </c>
      <c r="B66" s="1" t="s">
        <v>150</v>
      </c>
      <c r="C66" s="1" t="s">
        <v>16</v>
      </c>
      <c r="D66" s="1" t="s">
        <v>17</v>
      </c>
      <c r="E66" s="1">
        <v>73</v>
      </c>
      <c r="F66" s="1">
        <v>67</v>
      </c>
      <c r="G66" s="1">
        <v>71</v>
      </c>
      <c r="H66" s="1">
        <v>2</v>
      </c>
      <c r="I66" s="1" t="s">
        <v>122</v>
      </c>
      <c r="J66" s="1" t="str">
        <f t="shared" ref="J66:J97" si="2">IF(G66&gt;=85,"Excellent",IF(G66&gt;=70,"Good","Needs Improvement"))</f>
        <v>Good</v>
      </c>
    </row>
    <row r="67" spans="1:10" x14ac:dyDescent="0.45">
      <c r="A67" s="1" t="s">
        <v>151</v>
      </c>
      <c r="B67" s="1" t="s">
        <v>152</v>
      </c>
      <c r="C67" s="1" t="s">
        <v>20</v>
      </c>
      <c r="D67" s="1" t="s">
        <v>23</v>
      </c>
      <c r="E67" s="1">
        <v>96</v>
      </c>
      <c r="F67" s="1">
        <v>92</v>
      </c>
      <c r="G67" s="1">
        <v>95</v>
      </c>
      <c r="H67" s="1">
        <v>5</v>
      </c>
      <c r="I67" s="1" t="s">
        <v>122</v>
      </c>
      <c r="J67" s="1" t="str">
        <f t="shared" si="2"/>
        <v>Excellent</v>
      </c>
    </row>
    <row r="68" spans="1:10" x14ac:dyDescent="0.45">
      <c r="A68" s="1" t="s">
        <v>153</v>
      </c>
      <c r="B68" s="1" t="s">
        <v>154</v>
      </c>
      <c r="C68" s="1" t="s">
        <v>11</v>
      </c>
      <c r="D68" s="1" t="s">
        <v>26</v>
      </c>
      <c r="E68" s="1">
        <v>79</v>
      </c>
      <c r="F68" s="1">
        <v>73</v>
      </c>
      <c r="G68" s="1">
        <v>77</v>
      </c>
      <c r="H68" s="1">
        <v>3</v>
      </c>
      <c r="I68" s="1" t="s">
        <v>122</v>
      </c>
      <c r="J68" s="1" t="str">
        <f t="shared" si="2"/>
        <v>Good</v>
      </c>
    </row>
    <row r="69" spans="1:10" x14ac:dyDescent="0.45">
      <c r="A69" s="1" t="s">
        <v>155</v>
      </c>
      <c r="B69" s="1" t="s">
        <v>156</v>
      </c>
      <c r="C69" s="1" t="s">
        <v>16</v>
      </c>
      <c r="D69" s="1" t="s">
        <v>12</v>
      </c>
      <c r="E69" s="1">
        <v>88</v>
      </c>
      <c r="F69" s="1">
        <v>84</v>
      </c>
      <c r="G69" s="1">
        <v>87</v>
      </c>
      <c r="H69" s="1">
        <v>4</v>
      </c>
      <c r="I69" s="1" t="s">
        <v>122</v>
      </c>
      <c r="J69" s="1" t="str">
        <f t="shared" si="2"/>
        <v>Excellent</v>
      </c>
    </row>
    <row r="70" spans="1:10" x14ac:dyDescent="0.45">
      <c r="A70" s="1" t="s">
        <v>157</v>
      </c>
      <c r="B70" s="1" t="s">
        <v>158</v>
      </c>
      <c r="C70" s="1" t="s">
        <v>20</v>
      </c>
      <c r="D70" s="1" t="s">
        <v>17</v>
      </c>
      <c r="E70" s="1">
        <v>71</v>
      </c>
      <c r="F70" s="1">
        <v>65</v>
      </c>
      <c r="G70" s="1">
        <v>69</v>
      </c>
      <c r="H70" s="1">
        <v>2</v>
      </c>
      <c r="I70" s="1" t="s">
        <v>122</v>
      </c>
      <c r="J70" s="1" t="str">
        <f t="shared" si="2"/>
        <v>Needs Improvement</v>
      </c>
    </row>
    <row r="71" spans="1:10" x14ac:dyDescent="0.45">
      <c r="A71" s="1" t="s">
        <v>159</v>
      </c>
      <c r="B71" s="1" t="s">
        <v>160</v>
      </c>
      <c r="C71" s="1" t="s">
        <v>11</v>
      </c>
      <c r="D71" s="1" t="s">
        <v>23</v>
      </c>
      <c r="E71" s="1">
        <v>98</v>
      </c>
      <c r="F71" s="1">
        <v>94</v>
      </c>
      <c r="G71" s="1">
        <v>97</v>
      </c>
      <c r="H71" s="1">
        <v>5</v>
      </c>
      <c r="I71" s="1" t="s">
        <v>122</v>
      </c>
      <c r="J71" s="1" t="str">
        <f t="shared" si="2"/>
        <v>Excellent</v>
      </c>
    </row>
    <row r="72" spans="1:10" x14ac:dyDescent="0.45">
      <c r="A72" s="1" t="s">
        <v>161</v>
      </c>
      <c r="B72" s="1" t="s">
        <v>162</v>
      </c>
      <c r="C72" s="1" t="s">
        <v>16</v>
      </c>
      <c r="D72" s="1" t="s">
        <v>26</v>
      </c>
      <c r="E72" s="1">
        <v>83</v>
      </c>
      <c r="F72" s="1">
        <v>77</v>
      </c>
      <c r="G72" s="1">
        <v>81</v>
      </c>
      <c r="H72" s="1">
        <v>3</v>
      </c>
      <c r="I72" s="1" t="s">
        <v>163</v>
      </c>
      <c r="J72" s="1" t="str">
        <f t="shared" si="2"/>
        <v>Good</v>
      </c>
    </row>
    <row r="73" spans="1:10" x14ac:dyDescent="0.45">
      <c r="A73" s="1" t="s">
        <v>164</v>
      </c>
      <c r="B73" s="1" t="s">
        <v>165</v>
      </c>
      <c r="C73" s="1" t="s">
        <v>20</v>
      </c>
      <c r="D73" s="1" t="s">
        <v>12</v>
      </c>
      <c r="E73" s="1">
        <v>90</v>
      </c>
      <c r="F73" s="1">
        <v>86</v>
      </c>
      <c r="G73" s="1">
        <v>89</v>
      </c>
      <c r="H73" s="1">
        <v>4</v>
      </c>
      <c r="I73" s="1" t="s">
        <v>163</v>
      </c>
      <c r="J73" s="1" t="str">
        <f t="shared" si="2"/>
        <v>Excellent</v>
      </c>
    </row>
    <row r="74" spans="1:10" x14ac:dyDescent="0.45">
      <c r="A74" s="1" t="s">
        <v>166</v>
      </c>
      <c r="B74" s="1" t="s">
        <v>167</v>
      </c>
      <c r="C74" s="1" t="s">
        <v>11</v>
      </c>
      <c r="D74" s="1" t="s">
        <v>17</v>
      </c>
      <c r="E74" s="1">
        <v>74</v>
      </c>
      <c r="F74" s="1">
        <v>68</v>
      </c>
      <c r="G74" s="1">
        <v>72</v>
      </c>
      <c r="H74" s="1">
        <v>2</v>
      </c>
      <c r="I74" s="1" t="s">
        <v>163</v>
      </c>
      <c r="J74" s="1" t="str">
        <f t="shared" si="2"/>
        <v>Good</v>
      </c>
    </row>
    <row r="75" spans="1:10" x14ac:dyDescent="0.45">
      <c r="A75" s="1" t="s">
        <v>168</v>
      </c>
      <c r="B75" s="1" t="s">
        <v>169</v>
      </c>
      <c r="C75" s="1" t="s">
        <v>16</v>
      </c>
      <c r="D75" s="1" t="s">
        <v>23</v>
      </c>
      <c r="E75" s="1">
        <v>93</v>
      </c>
      <c r="F75" s="1">
        <v>89</v>
      </c>
      <c r="G75" s="1">
        <v>92</v>
      </c>
      <c r="H75" s="1">
        <v>5</v>
      </c>
      <c r="I75" s="1" t="s">
        <v>163</v>
      </c>
      <c r="J75" s="1" t="str">
        <f t="shared" si="2"/>
        <v>Excellent</v>
      </c>
    </row>
    <row r="76" spans="1:10" x14ac:dyDescent="0.45">
      <c r="A76" s="1" t="s">
        <v>170</v>
      </c>
      <c r="B76" s="1" t="s">
        <v>171</v>
      </c>
      <c r="C76" s="1" t="s">
        <v>20</v>
      </c>
      <c r="D76" s="1" t="s">
        <v>26</v>
      </c>
      <c r="E76" s="1">
        <v>81</v>
      </c>
      <c r="F76" s="1">
        <v>75</v>
      </c>
      <c r="G76" s="1">
        <v>79</v>
      </c>
      <c r="H76" s="1">
        <v>3</v>
      </c>
      <c r="I76" s="1" t="s">
        <v>163</v>
      </c>
      <c r="J76" s="1" t="str">
        <f t="shared" si="2"/>
        <v>Good</v>
      </c>
    </row>
    <row r="77" spans="1:10" x14ac:dyDescent="0.45">
      <c r="A77" s="1" t="s">
        <v>172</v>
      </c>
      <c r="B77" s="1" t="s">
        <v>173</v>
      </c>
      <c r="C77" s="1" t="s">
        <v>11</v>
      </c>
      <c r="D77" s="1" t="s">
        <v>12</v>
      </c>
      <c r="E77" s="1">
        <v>87</v>
      </c>
      <c r="F77" s="1">
        <v>82</v>
      </c>
      <c r="G77" s="1">
        <v>85</v>
      </c>
      <c r="H77" s="1">
        <v>4</v>
      </c>
      <c r="I77" s="1" t="s">
        <v>163</v>
      </c>
      <c r="J77" s="1" t="str">
        <f t="shared" si="2"/>
        <v>Excellent</v>
      </c>
    </row>
    <row r="78" spans="1:10" x14ac:dyDescent="0.45">
      <c r="A78" s="1" t="s">
        <v>174</v>
      </c>
      <c r="B78" s="1" t="s">
        <v>175</v>
      </c>
      <c r="C78" s="1" t="s">
        <v>16</v>
      </c>
      <c r="D78" s="1" t="s">
        <v>17</v>
      </c>
      <c r="E78" s="1">
        <v>76</v>
      </c>
      <c r="F78" s="1">
        <v>70</v>
      </c>
      <c r="G78" s="1">
        <v>74</v>
      </c>
      <c r="H78" s="1">
        <v>3</v>
      </c>
      <c r="I78" s="1" t="s">
        <v>163</v>
      </c>
      <c r="J78" s="1" t="str">
        <f t="shared" si="2"/>
        <v>Good</v>
      </c>
    </row>
    <row r="79" spans="1:10" x14ac:dyDescent="0.45">
      <c r="A79" s="1" t="s">
        <v>176</v>
      </c>
      <c r="B79" s="1" t="s">
        <v>177</v>
      </c>
      <c r="C79" s="1" t="s">
        <v>20</v>
      </c>
      <c r="D79" s="1" t="s">
        <v>23</v>
      </c>
      <c r="E79" s="1">
        <v>95</v>
      </c>
      <c r="F79" s="1">
        <v>91</v>
      </c>
      <c r="G79" s="1">
        <v>94</v>
      </c>
      <c r="H79" s="1">
        <v>5</v>
      </c>
      <c r="I79" s="1" t="s">
        <v>163</v>
      </c>
      <c r="J79" s="1" t="str">
        <f t="shared" si="2"/>
        <v>Excellent</v>
      </c>
    </row>
    <row r="80" spans="1:10" x14ac:dyDescent="0.45">
      <c r="A80" s="1" t="s">
        <v>178</v>
      </c>
      <c r="B80" s="1" t="s">
        <v>179</v>
      </c>
      <c r="C80" s="1" t="s">
        <v>11</v>
      </c>
      <c r="D80" s="1" t="s">
        <v>26</v>
      </c>
      <c r="E80" s="1">
        <v>78</v>
      </c>
      <c r="F80" s="1">
        <v>72</v>
      </c>
      <c r="G80" s="1">
        <v>76</v>
      </c>
      <c r="H80" s="1">
        <v>3</v>
      </c>
      <c r="I80" s="1" t="s">
        <v>163</v>
      </c>
      <c r="J80" s="1" t="str">
        <f t="shared" si="2"/>
        <v>Good</v>
      </c>
    </row>
    <row r="81" spans="1:10" x14ac:dyDescent="0.45">
      <c r="A81" s="1" t="s">
        <v>180</v>
      </c>
      <c r="B81" s="1" t="s">
        <v>181</v>
      </c>
      <c r="C81" s="1" t="s">
        <v>16</v>
      </c>
      <c r="D81" s="1" t="s">
        <v>12</v>
      </c>
      <c r="E81" s="1">
        <v>89</v>
      </c>
      <c r="F81" s="1">
        <v>85</v>
      </c>
      <c r="G81" s="1">
        <v>88</v>
      </c>
      <c r="H81" s="1">
        <v>4</v>
      </c>
      <c r="I81" s="1" t="s">
        <v>163</v>
      </c>
      <c r="J81" s="1" t="str">
        <f t="shared" si="2"/>
        <v>Excellent</v>
      </c>
    </row>
    <row r="82" spans="1:10" x14ac:dyDescent="0.45">
      <c r="A82" s="1" t="s">
        <v>182</v>
      </c>
      <c r="B82" s="1" t="s">
        <v>183</v>
      </c>
      <c r="C82" s="1" t="s">
        <v>20</v>
      </c>
      <c r="D82" s="1" t="s">
        <v>17</v>
      </c>
      <c r="E82" s="1">
        <v>72</v>
      </c>
      <c r="F82" s="1">
        <v>66</v>
      </c>
      <c r="G82" s="1">
        <v>70</v>
      </c>
      <c r="H82" s="1">
        <v>2</v>
      </c>
      <c r="I82" s="1" t="s">
        <v>163</v>
      </c>
      <c r="J82" s="1" t="str">
        <f t="shared" si="2"/>
        <v>Good</v>
      </c>
    </row>
    <row r="83" spans="1:10" x14ac:dyDescent="0.45">
      <c r="A83" s="1" t="s">
        <v>184</v>
      </c>
      <c r="B83" s="1" t="s">
        <v>185</v>
      </c>
      <c r="C83" s="1" t="s">
        <v>11</v>
      </c>
      <c r="D83" s="1" t="s">
        <v>23</v>
      </c>
      <c r="E83" s="1">
        <v>97</v>
      </c>
      <c r="F83" s="1">
        <v>93</v>
      </c>
      <c r="G83" s="1">
        <v>96</v>
      </c>
      <c r="H83" s="1">
        <v>5</v>
      </c>
      <c r="I83" s="1" t="s">
        <v>163</v>
      </c>
      <c r="J83" s="1" t="str">
        <f t="shared" si="2"/>
        <v>Excellent</v>
      </c>
    </row>
    <row r="84" spans="1:10" x14ac:dyDescent="0.45">
      <c r="A84" s="1" t="s">
        <v>186</v>
      </c>
      <c r="B84" s="1" t="s">
        <v>187</v>
      </c>
      <c r="C84" s="1" t="s">
        <v>16</v>
      </c>
      <c r="D84" s="1" t="s">
        <v>26</v>
      </c>
      <c r="E84" s="1">
        <v>84</v>
      </c>
      <c r="F84" s="1">
        <v>78</v>
      </c>
      <c r="G84" s="1">
        <v>82</v>
      </c>
      <c r="H84" s="1">
        <v>3</v>
      </c>
      <c r="I84" s="1" t="s">
        <v>163</v>
      </c>
      <c r="J84" s="1" t="str">
        <f t="shared" si="2"/>
        <v>Good</v>
      </c>
    </row>
    <row r="85" spans="1:10" x14ac:dyDescent="0.45">
      <c r="A85" s="1" t="s">
        <v>188</v>
      </c>
      <c r="B85" s="1" t="s">
        <v>189</v>
      </c>
      <c r="C85" s="1" t="s">
        <v>20</v>
      </c>
      <c r="D85" s="1" t="s">
        <v>12</v>
      </c>
      <c r="E85" s="1">
        <v>91</v>
      </c>
      <c r="F85" s="1">
        <v>87</v>
      </c>
      <c r="G85" s="1">
        <v>90</v>
      </c>
      <c r="H85" s="1">
        <v>4</v>
      </c>
      <c r="I85" s="1" t="s">
        <v>163</v>
      </c>
      <c r="J85" s="1" t="str">
        <f t="shared" si="2"/>
        <v>Excellent</v>
      </c>
    </row>
    <row r="86" spans="1:10" x14ac:dyDescent="0.45">
      <c r="A86" s="1" t="s">
        <v>190</v>
      </c>
      <c r="B86" s="1" t="s">
        <v>191</v>
      </c>
      <c r="C86" s="1" t="s">
        <v>11</v>
      </c>
      <c r="D86" s="1" t="s">
        <v>17</v>
      </c>
      <c r="E86" s="1">
        <v>75</v>
      </c>
      <c r="F86" s="1">
        <v>69</v>
      </c>
      <c r="G86" s="1">
        <v>73</v>
      </c>
      <c r="H86" s="1">
        <v>2</v>
      </c>
      <c r="I86" s="1" t="s">
        <v>163</v>
      </c>
      <c r="J86" s="1" t="str">
        <f t="shared" si="2"/>
        <v>Good</v>
      </c>
    </row>
    <row r="87" spans="1:10" x14ac:dyDescent="0.45">
      <c r="A87" s="1" t="s">
        <v>192</v>
      </c>
      <c r="B87" s="1" t="s">
        <v>193</v>
      </c>
      <c r="C87" s="1" t="s">
        <v>16</v>
      </c>
      <c r="D87" s="1" t="s">
        <v>23</v>
      </c>
      <c r="E87" s="1">
        <v>92</v>
      </c>
      <c r="F87" s="1">
        <v>88</v>
      </c>
      <c r="G87" s="1">
        <v>91</v>
      </c>
      <c r="H87" s="1">
        <v>5</v>
      </c>
      <c r="I87" s="1" t="s">
        <v>163</v>
      </c>
      <c r="J87" s="1" t="str">
        <f t="shared" si="2"/>
        <v>Excellent</v>
      </c>
    </row>
    <row r="88" spans="1:10" x14ac:dyDescent="0.45">
      <c r="A88" s="1" t="s">
        <v>194</v>
      </c>
      <c r="B88" s="1" t="s">
        <v>195</v>
      </c>
      <c r="C88" s="1" t="s">
        <v>20</v>
      </c>
      <c r="D88" s="1" t="s">
        <v>26</v>
      </c>
      <c r="E88" s="1">
        <v>80</v>
      </c>
      <c r="F88" s="1">
        <v>74</v>
      </c>
      <c r="G88" s="1">
        <v>78</v>
      </c>
      <c r="H88" s="1">
        <v>3</v>
      </c>
      <c r="I88" s="1" t="s">
        <v>163</v>
      </c>
      <c r="J88" s="1" t="str">
        <f t="shared" si="2"/>
        <v>Good</v>
      </c>
    </row>
    <row r="89" spans="1:10" x14ac:dyDescent="0.45">
      <c r="A89" s="1" t="s">
        <v>196</v>
      </c>
      <c r="B89" s="1" t="s">
        <v>197</v>
      </c>
      <c r="C89" s="1" t="s">
        <v>11</v>
      </c>
      <c r="D89" s="1" t="s">
        <v>12</v>
      </c>
      <c r="E89" s="1">
        <v>86</v>
      </c>
      <c r="F89" s="1">
        <v>81</v>
      </c>
      <c r="G89" s="1">
        <v>84</v>
      </c>
      <c r="H89" s="1">
        <v>4</v>
      </c>
      <c r="I89" s="1" t="s">
        <v>163</v>
      </c>
      <c r="J89" s="1" t="str">
        <f t="shared" si="2"/>
        <v>Good</v>
      </c>
    </row>
    <row r="90" spans="1:10" x14ac:dyDescent="0.45">
      <c r="A90" s="1" t="s">
        <v>198</v>
      </c>
      <c r="B90" s="1" t="s">
        <v>199</v>
      </c>
      <c r="C90" s="1" t="s">
        <v>16</v>
      </c>
      <c r="D90" s="1" t="s">
        <v>17</v>
      </c>
      <c r="E90" s="1">
        <v>73</v>
      </c>
      <c r="F90" s="1">
        <v>67</v>
      </c>
      <c r="G90" s="1">
        <v>71</v>
      </c>
      <c r="H90" s="1">
        <v>2</v>
      </c>
      <c r="I90" s="1" t="s">
        <v>163</v>
      </c>
      <c r="J90" s="1" t="str">
        <f t="shared" si="2"/>
        <v>Good</v>
      </c>
    </row>
    <row r="91" spans="1:10" x14ac:dyDescent="0.45">
      <c r="A91" s="1" t="s">
        <v>200</v>
      </c>
      <c r="B91" s="1" t="s">
        <v>201</v>
      </c>
      <c r="C91" s="1" t="s">
        <v>20</v>
      </c>
      <c r="D91" s="1" t="s">
        <v>23</v>
      </c>
      <c r="E91" s="1">
        <v>96</v>
      </c>
      <c r="F91" s="1">
        <v>92</v>
      </c>
      <c r="G91" s="1">
        <v>95</v>
      </c>
      <c r="H91" s="1">
        <v>5</v>
      </c>
      <c r="I91" s="1" t="s">
        <v>163</v>
      </c>
      <c r="J91" s="1" t="str">
        <f t="shared" si="2"/>
        <v>Excellent</v>
      </c>
    </row>
    <row r="92" spans="1:10" x14ac:dyDescent="0.45">
      <c r="A92" s="1" t="s">
        <v>202</v>
      </c>
      <c r="B92" s="1" t="s">
        <v>203</v>
      </c>
      <c r="C92" s="1" t="s">
        <v>11</v>
      </c>
      <c r="D92" s="1" t="s">
        <v>26</v>
      </c>
      <c r="E92" s="1">
        <v>79</v>
      </c>
      <c r="F92" s="1">
        <v>73</v>
      </c>
      <c r="G92" s="1">
        <v>77</v>
      </c>
      <c r="H92" s="1">
        <v>3</v>
      </c>
      <c r="I92" s="1" t="s">
        <v>204</v>
      </c>
      <c r="J92" s="1" t="str">
        <f t="shared" si="2"/>
        <v>Good</v>
      </c>
    </row>
    <row r="93" spans="1:10" x14ac:dyDescent="0.45">
      <c r="A93" s="1" t="s">
        <v>205</v>
      </c>
      <c r="B93" s="1" t="s">
        <v>206</v>
      </c>
      <c r="C93" s="1" t="s">
        <v>16</v>
      </c>
      <c r="D93" s="1" t="s">
        <v>12</v>
      </c>
      <c r="E93" s="1">
        <v>88</v>
      </c>
      <c r="F93" s="1">
        <v>84</v>
      </c>
      <c r="G93" s="1">
        <v>87</v>
      </c>
      <c r="H93" s="1">
        <v>4</v>
      </c>
      <c r="I93" s="1" t="s">
        <v>204</v>
      </c>
      <c r="J93" s="1" t="str">
        <f t="shared" si="2"/>
        <v>Excellent</v>
      </c>
    </row>
    <row r="94" spans="1:10" x14ac:dyDescent="0.45">
      <c r="A94" s="1" t="s">
        <v>207</v>
      </c>
      <c r="B94" s="1" t="s">
        <v>208</v>
      </c>
      <c r="C94" s="1" t="s">
        <v>20</v>
      </c>
      <c r="D94" s="1" t="s">
        <v>17</v>
      </c>
      <c r="E94" s="1">
        <v>71</v>
      </c>
      <c r="F94" s="1">
        <v>65</v>
      </c>
      <c r="G94" s="1">
        <v>69</v>
      </c>
      <c r="H94" s="1">
        <v>2</v>
      </c>
      <c r="I94" s="1" t="s">
        <v>204</v>
      </c>
      <c r="J94" s="1" t="str">
        <f t="shared" si="2"/>
        <v>Needs Improvement</v>
      </c>
    </row>
    <row r="95" spans="1:10" x14ac:dyDescent="0.45">
      <c r="A95" s="1" t="s">
        <v>209</v>
      </c>
      <c r="B95" s="1" t="s">
        <v>210</v>
      </c>
      <c r="C95" s="1" t="s">
        <v>11</v>
      </c>
      <c r="D95" s="1" t="s">
        <v>23</v>
      </c>
      <c r="E95" s="1">
        <v>98</v>
      </c>
      <c r="F95" s="1">
        <v>94</v>
      </c>
      <c r="G95" s="1">
        <v>97</v>
      </c>
      <c r="H95" s="1">
        <v>5</v>
      </c>
      <c r="I95" s="1" t="s">
        <v>204</v>
      </c>
      <c r="J95" s="1" t="str">
        <f t="shared" si="2"/>
        <v>Excellent</v>
      </c>
    </row>
    <row r="96" spans="1:10" x14ac:dyDescent="0.45">
      <c r="A96" s="1" t="s">
        <v>211</v>
      </c>
      <c r="B96" s="1" t="s">
        <v>212</v>
      </c>
      <c r="C96" s="1" t="s">
        <v>16</v>
      </c>
      <c r="D96" s="1" t="s">
        <v>26</v>
      </c>
      <c r="E96" s="1">
        <v>83</v>
      </c>
      <c r="F96" s="1">
        <v>77</v>
      </c>
      <c r="G96" s="1">
        <v>81</v>
      </c>
      <c r="H96" s="1">
        <v>3</v>
      </c>
      <c r="I96" s="1" t="s">
        <v>204</v>
      </c>
      <c r="J96" s="1" t="str">
        <f t="shared" si="2"/>
        <v>Good</v>
      </c>
    </row>
    <row r="97" spans="1:10" x14ac:dyDescent="0.45">
      <c r="A97" s="1" t="s">
        <v>213</v>
      </c>
      <c r="B97" s="1" t="s">
        <v>214</v>
      </c>
      <c r="C97" s="1" t="s">
        <v>20</v>
      </c>
      <c r="D97" s="1" t="s">
        <v>12</v>
      </c>
      <c r="E97" s="1">
        <v>90</v>
      </c>
      <c r="F97" s="1">
        <v>86</v>
      </c>
      <c r="G97" s="1">
        <v>89</v>
      </c>
      <c r="H97" s="1">
        <v>4</v>
      </c>
      <c r="I97" s="1" t="s">
        <v>204</v>
      </c>
      <c r="J97" s="1" t="str">
        <f t="shared" si="2"/>
        <v>Excellent</v>
      </c>
    </row>
    <row r="98" spans="1:10" x14ac:dyDescent="0.45">
      <c r="A98" s="1" t="s">
        <v>215</v>
      </c>
      <c r="B98" s="1" t="s">
        <v>216</v>
      </c>
      <c r="C98" s="1" t="s">
        <v>11</v>
      </c>
      <c r="D98" s="1" t="s">
        <v>17</v>
      </c>
      <c r="E98" s="1">
        <v>74</v>
      </c>
      <c r="F98" s="1">
        <v>68</v>
      </c>
      <c r="G98" s="1">
        <v>72</v>
      </c>
      <c r="H98" s="1">
        <v>2</v>
      </c>
      <c r="I98" s="1" t="s">
        <v>204</v>
      </c>
      <c r="J98" s="1" t="str">
        <f t="shared" ref="J98:J129" si="3">IF(G98&gt;=85,"Excellent",IF(G98&gt;=70,"Good","Needs Improvement"))</f>
        <v>Good</v>
      </c>
    </row>
    <row r="99" spans="1:10" x14ac:dyDescent="0.45">
      <c r="A99" s="1" t="s">
        <v>217</v>
      </c>
      <c r="B99" s="1" t="s">
        <v>218</v>
      </c>
      <c r="C99" s="1" t="s">
        <v>16</v>
      </c>
      <c r="D99" s="1" t="s">
        <v>23</v>
      </c>
      <c r="E99" s="1">
        <v>93</v>
      </c>
      <c r="F99" s="1">
        <v>89</v>
      </c>
      <c r="G99" s="1">
        <v>92</v>
      </c>
      <c r="H99" s="1">
        <v>5</v>
      </c>
      <c r="I99" s="1" t="s">
        <v>204</v>
      </c>
      <c r="J99" s="1" t="str">
        <f t="shared" si="3"/>
        <v>Excellent</v>
      </c>
    </row>
    <row r="100" spans="1:10" x14ac:dyDescent="0.45">
      <c r="A100" s="1" t="s">
        <v>219</v>
      </c>
      <c r="B100" s="1" t="s">
        <v>220</v>
      </c>
      <c r="C100" s="1" t="s">
        <v>20</v>
      </c>
      <c r="D100" s="1" t="s">
        <v>26</v>
      </c>
      <c r="E100" s="1">
        <v>81</v>
      </c>
      <c r="F100" s="1">
        <v>75</v>
      </c>
      <c r="G100" s="1">
        <v>79</v>
      </c>
      <c r="H100" s="1">
        <v>3</v>
      </c>
      <c r="I100" s="1" t="s">
        <v>204</v>
      </c>
      <c r="J100" s="1" t="str">
        <f t="shared" si="3"/>
        <v>Good</v>
      </c>
    </row>
    <row r="101" spans="1:10" x14ac:dyDescent="0.45">
      <c r="A101" s="1" t="s">
        <v>221</v>
      </c>
      <c r="B101" s="1" t="s">
        <v>222</v>
      </c>
      <c r="C101" s="1" t="s">
        <v>11</v>
      </c>
      <c r="D101" s="1" t="s">
        <v>12</v>
      </c>
      <c r="E101" s="1">
        <v>87</v>
      </c>
      <c r="F101" s="1">
        <v>82</v>
      </c>
      <c r="G101" s="1">
        <v>85</v>
      </c>
      <c r="H101" s="1">
        <v>4</v>
      </c>
      <c r="I101" s="1" t="s">
        <v>204</v>
      </c>
      <c r="J101" s="1" t="str">
        <f t="shared" si="3"/>
        <v>Excellent</v>
      </c>
    </row>
    <row r="102" spans="1:10" x14ac:dyDescent="0.45">
      <c r="A102" s="1" t="s">
        <v>223</v>
      </c>
      <c r="B102" s="1" t="s">
        <v>224</v>
      </c>
      <c r="C102" s="1" t="s">
        <v>16</v>
      </c>
      <c r="D102" s="1" t="s">
        <v>17</v>
      </c>
      <c r="E102" s="1">
        <v>76</v>
      </c>
      <c r="F102" s="1">
        <v>70</v>
      </c>
      <c r="G102" s="1">
        <v>74</v>
      </c>
      <c r="H102" s="1">
        <v>3</v>
      </c>
      <c r="I102" s="1" t="s">
        <v>204</v>
      </c>
      <c r="J102" s="1" t="str">
        <f t="shared" si="3"/>
        <v>Good</v>
      </c>
    </row>
    <row r="103" spans="1:10" x14ac:dyDescent="0.45">
      <c r="A103" s="1" t="s">
        <v>225</v>
      </c>
      <c r="B103" s="1" t="s">
        <v>226</v>
      </c>
      <c r="C103" s="1" t="s">
        <v>20</v>
      </c>
      <c r="D103" s="1" t="s">
        <v>23</v>
      </c>
      <c r="E103" s="1">
        <v>95</v>
      </c>
      <c r="F103" s="1">
        <v>91</v>
      </c>
      <c r="G103" s="1">
        <v>94</v>
      </c>
      <c r="H103" s="1">
        <v>5</v>
      </c>
      <c r="I103" s="1" t="s">
        <v>204</v>
      </c>
      <c r="J103" s="1" t="str">
        <f t="shared" si="3"/>
        <v>Excellent</v>
      </c>
    </row>
    <row r="104" spans="1:10" x14ac:dyDescent="0.45">
      <c r="A104" s="1" t="s">
        <v>227</v>
      </c>
      <c r="B104" s="1" t="s">
        <v>228</v>
      </c>
      <c r="C104" s="1" t="s">
        <v>11</v>
      </c>
      <c r="D104" s="1" t="s">
        <v>26</v>
      </c>
      <c r="E104" s="1">
        <v>78</v>
      </c>
      <c r="F104" s="1">
        <v>72</v>
      </c>
      <c r="G104" s="1">
        <v>76</v>
      </c>
      <c r="H104" s="1">
        <v>3</v>
      </c>
      <c r="I104" s="1" t="s">
        <v>204</v>
      </c>
      <c r="J104" s="1" t="str">
        <f t="shared" si="3"/>
        <v>Good</v>
      </c>
    </row>
    <row r="105" spans="1:10" x14ac:dyDescent="0.45">
      <c r="A105" s="1" t="s">
        <v>229</v>
      </c>
      <c r="B105" s="1" t="s">
        <v>70</v>
      </c>
      <c r="C105" s="1" t="s">
        <v>16</v>
      </c>
      <c r="D105" s="1" t="s">
        <v>12</v>
      </c>
      <c r="E105" s="1">
        <v>89</v>
      </c>
      <c r="F105" s="1">
        <v>85</v>
      </c>
      <c r="G105" s="1">
        <v>88</v>
      </c>
      <c r="H105" s="1">
        <v>4</v>
      </c>
      <c r="I105" s="1" t="s">
        <v>204</v>
      </c>
      <c r="J105" s="1" t="str">
        <f t="shared" si="3"/>
        <v>Excellent</v>
      </c>
    </row>
    <row r="106" spans="1:10" x14ac:dyDescent="0.45">
      <c r="A106" s="1" t="s">
        <v>230</v>
      </c>
      <c r="B106" s="1" t="s">
        <v>231</v>
      </c>
      <c r="C106" s="1" t="s">
        <v>20</v>
      </c>
      <c r="D106" s="1" t="s">
        <v>17</v>
      </c>
      <c r="E106" s="1">
        <v>72</v>
      </c>
      <c r="F106" s="1">
        <v>66</v>
      </c>
      <c r="G106" s="1">
        <v>70</v>
      </c>
      <c r="H106" s="1">
        <v>2</v>
      </c>
      <c r="I106" s="1" t="s">
        <v>204</v>
      </c>
      <c r="J106" s="1" t="str">
        <f t="shared" si="3"/>
        <v>Good</v>
      </c>
    </row>
    <row r="107" spans="1:10" x14ac:dyDescent="0.45">
      <c r="A107" s="1" t="s">
        <v>232</v>
      </c>
      <c r="B107" s="1" t="s">
        <v>233</v>
      </c>
      <c r="C107" s="1" t="s">
        <v>11</v>
      </c>
      <c r="D107" s="1" t="s">
        <v>23</v>
      </c>
      <c r="E107" s="1">
        <v>97</v>
      </c>
      <c r="F107" s="1">
        <v>93</v>
      </c>
      <c r="G107" s="1">
        <v>96</v>
      </c>
      <c r="H107" s="1">
        <v>5</v>
      </c>
      <c r="I107" s="1" t="s">
        <v>204</v>
      </c>
      <c r="J107" s="1" t="str">
        <f t="shared" si="3"/>
        <v>Excellent</v>
      </c>
    </row>
    <row r="108" spans="1:10" x14ac:dyDescent="0.45">
      <c r="A108" s="1" t="s">
        <v>234</v>
      </c>
      <c r="B108" s="1" t="s">
        <v>25</v>
      </c>
      <c r="C108" s="1" t="s">
        <v>16</v>
      </c>
      <c r="D108" s="1" t="s">
        <v>26</v>
      </c>
      <c r="E108" s="1">
        <v>84</v>
      </c>
      <c r="F108" s="1">
        <v>78</v>
      </c>
      <c r="G108" s="1">
        <v>82</v>
      </c>
      <c r="H108" s="1">
        <v>3</v>
      </c>
      <c r="I108" s="1" t="s">
        <v>204</v>
      </c>
      <c r="J108" s="1" t="str">
        <f t="shared" si="3"/>
        <v>Good</v>
      </c>
    </row>
    <row r="109" spans="1:10" x14ac:dyDescent="0.45">
      <c r="A109" s="1" t="s">
        <v>235</v>
      </c>
      <c r="B109" s="1" t="s">
        <v>236</v>
      </c>
      <c r="C109" s="1" t="s">
        <v>20</v>
      </c>
      <c r="D109" s="1" t="s">
        <v>12</v>
      </c>
      <c r="E109" s="1">
        <v>91</v>
      </c>
      <c r="F109" s="1">
        <v>87</v>
      </c>
      <c r="G109" s="1">
        <v>90</v>
      </c>
      <c r="H109" s="1">
        <v>4</v>
      </c>
      <c r="I109" s="1" t="s">
        <v>204</v>
      </c>
      <c r="J109" s="1" t="str">
        <f t="shared" si="3"/>
        <v>Excellent</v>
      </c>
    </row>
    <row r="110" spans="1:10" x14ac:dyDescent="0.45">
      <c r="A110" s="1" t="s">
        <v>237</v>
      </c>
      <c r="B110" s="1" t="s">
        <v>238</v>
      </c>
      <c r="C110" s="1" t="s">
        <v>11</v>
      </c>
      <c r="D110" s="1" t="s">
        <v>17</v>
      </c>
      <c r="E110" s="1">
        <v>75</v>
      </c>
      <c r="F110" s="1">
        <v>69</v>
      </c>
      <c r="G110" s="1">
        <v>73</v>
      </c>
      <c r="H110" s="1">
        <v>2</v>
      </c>
      <c r="I110" s="1" t="s">
        <v>204</v>
      </c>
      <c r="J110" s="1" t="str">
        <f t="shared" si="3"/>
        <v>Good</v>
      </c>
    </row>
    <row r="111" spans="1:10" x14ac:dyDescent="0.45">
      <c r="A111" s="1" t="s">
        <v>239</v>
      </c>
      <c r="B111" s="1" t="s">
        <v>240</v>
      </c>
      <c r="C111" s="1" t="s">
        <v>16</v>
      </c>
      <c r="D111" s="1" t="s">
        <v>23</v>
      </c>
      <c r="E111" s="1">
        <v>92</v>
      </c>
      <c r="F111" s="1">
        <v>88</v>
      </c>
      <c r="G111" s="1">
        <v>91</v>
      </c>
      <c r="H111" s="1">
        <v>5</v>
      </c>
      <c r="I111" s="1" t="s">
        <v>204</v>
      </c>
      <c r="J111" s="1" t="str">
        <f t="shared" si="3"/>
        <v>Excellent</v>
      </c>
    </row>
    <row r="112" spans="1:10" x14ac:dyDescent="0.45">
      <c r="A112" s="1" t="s">
        <v>241</v>
      </c>
      <c r="B112" s="1" t="s">
        <v>242</v>
      </c>
      <c r="C112" s="1" t="s">
        <v>20</v>
      </c>
      <c r="D112" s="1" t="s">
        <v>26</v>
      </c>
      <c r="E112" s="1">
        <v>80</v>
      </c>
      <c r="F112" s="1">
        <v>74</v>
      </c>
      <c r="G112" s="1">
        <v>78</v>
      </c>
      <c r="H112" s="1">
        <v>3</v>
      </c>
      <c r="I112" s="1" t="s">
        <v>243</v>
      </c>
      <c r="J112" s="1" t="str">
        <f t="shared" si="3"/>
        <v>Good</v>
      </c>
    </row>
    <row r="113" spans="1:10" x14ac:dyDescent="0.45">
      <c r="A113" s="1" t="s">
        <v>244</v>
      </c>
      <c r="B113" s="1" t="s">
        <v>103</v>
      </c>
      <c r="C113" s="1" t="s">
        <v>11</v>
      </c>
      <c r="D113" s="1" t="s">
        <v>12</v>
      </c>
      <c r="E113" s="1">
        <v>86</v>
      </c>
      <c r="F113" s="1">
        <v>81</v>
      </c>
      <c r="G113" s="1">
        <v>84</v>
      </c>
      <c r="H113" s="1">
        <v>4</v>
      </c>
      <c r="I113" s="1" t="s">
        <v>243</v>
      </c>
      <c r="J113" s="1" t="str">
        <f t="shared" si="3"/>
        <v>Good</v>
      </c>
    </row>
    <row r="114" spans="1:10" x14ac:dyDescent="0.45">
      <c r="A114" s="1" t="s">
        <v>245</v>
      </c>
      <c r="B114" s="1" t="s">
        <v>246</v>
      </c>
      <c r="C114" s="1" t="s">
        <v>16</v>
      </c>
      <c r="D114" s="1" t="s">
        <v>17</v>
      </c>
      <c r="E114" s="1">
        <v>73</v>
      </c>
      <c r="F114" s="1">
        <v>67</v>
      </c>
      <c r="G114" s="1">
        <v>71</v>
      </c>
      <c r="H114" s="1">
        <v>2</v>
      </c>
      <c r="I114" s="1" t="s">
        <v>243</v>
      </c>
      <c r="J114" s="1" t="str">
        <f t="shared" si="3"/>
        <v>Good</v>
      </c>
    </row>
    <row r="115" spans="1:10" x14ac:dyDescent="0.45">
      <c r="A115" s="1" t="s">
        <v>247</v>
      </c>
      <c r="B115" s="1" t="s">
        <v>248</v>
      </c>
      <c r="C115" s="1" t="s">
        <v>20</v>
      </c>
      <c r="D115" s="1" t="s">
        <v>23</v>
      </c>
      <c r="E115" s="1">
        <v>96</v>
      </c>
      <c r="F115" s="1">
        <v>92</v>
      </c>
      <c r="G115" s="1">
        <v>95</v>
      </c>
      <c r="H115" s="1">
        <v>5</v>
      </c>
      <c r="I115" s="1" t="s">
        <v>243</v>
      </c>
      <c r="J115" s="1" t="str">
        <f t="shared" si="3"/>
        <v>Excellent</v>
      </c>
    </row>
    <row r="116" spans="1:10" x14ac:dyDescent="0.45">
      <c r="A116" s="1" t="s">
        <v>249</v>
      </c>
      <c r="B116" s="1" t="s">
        <v>55</v>
      </c>
      <c r="C116" s="1" t="s">
        <v>11</v>
      </c>
      <c r="D116" s="1" t="s">
        <v>26</v>
      </c>
      <c r="E116" s="1">
        <v>79</v>
      </c>
      <c r="F116" s="1">
        <v>73</v>
      </c>
      <c r="G116" s="1">
        <v>77</v>
      </c>
      <c r="H116" s="1">
        <v>3</v>
      </c>
      <c r="I116" s="1" t="s">
        <v>243</v>
      </c>
      <c r="J116" s="1" t="str">
        <f t="shared" si="3"/>
        <v>Good</v>
      </c>
    </row>
    <row r="117" spans="1:10" x14ac:dyDescent="0.45">
      <c r="A117" s="1" t="s">
        <v>250</v>
      </c>
      <c r="B117" s="1" t="s">
        <v>251</v>
      </c>
      <c r="C117" s="1" t="s">
        <v>16</v>
      </c>
      <c r="D117" s="1" t="s">
        <v>12</v>
      </c>
      <c r="E117" s="1">
        <v>88</v>
      </c>
      <c r="F117" s="1">
        <v>84</v>
      </c>
      <c r="G117" s="1">
        <v>87</v>
      </c>
      <c r="H117" s="1">
        <v>4</v>
      </c>
      <c r="I117" s="1" t="s">
        <v>243</v>
      </c>
      <c r="J117" s="1" t="str">
        <f t="shared" si="3"/>
        <v>Excellent</v>
      </c>
    </row>
    <row r="118" spans="1:10" x14ac:dyDescent="0.45">
      <c r="A118" s="1" t="s">
        <v>252</v>
      </c>
      <c r="B118" s="1" t="s">
        <v>253</v>
      </c>
      <c r="C118" s="1" t="s">
        <v>20</v>
      </c>
      <c r="D118" s="1" t="s">
        <v>17</v>
      </c>
      <c r="E118" s="1">
        <v>71</v>
      </c>
      <c r="F118" s="1">
        <v>65</v>
      </c>
      <c r="G118" s="1">
        <v>69</v>
      </c>
      <c r="H118" s="1">
        <v>2</v>
      </c>
      <c r="I118" s="1" t="s">
        <v>243</v>
      </c>
      <c r="J118" s="1" t="str">
        <f t="shared" si="3"/>
        <v>Needs Improvement</v>
      </c>
    </row>
    <row r="119" spans="1:10" x14ac:dyDescent="0.45">
      <c r="A119" s="1" t="s">
        <v>254</v>
      </c>
      <c r="B119" s="1" t="s">
        <v>255</v>
      </c>
      <c r="C119" s="1" t="s">
        <v>11</v>
      </c>
      <c r="D119" s="1" t="s">
        <v>23</v>
      </c>
      <c r="E119" s="1">
        <v>98</v>
      </c>
      <c r="F119" s="1">
        <v>94</v>
      </c>
      <c r="G119" s="1">
        <v>97</v>
      </c>
      <c r="H119" s="1">
        <v>5</v>
      </c>
      <c r="I119" s="1" t="s">
        <v>243</v>
      </c>
      <c r="J119" s="1" t="str">
        <f t="shared" si="3"/>
        <v>Excellent</v>
      </c>
    </row>
    <row r="120" spans="1:10" x14ac:dyDescent="0.45">
      <c r="A120" s="1" t="s">
        <v>256</v>
      </c>
      <c r="B120" s="1" t="s">
        <v>257</v>
      </c>
      <c r="C120" s="1" t="s">
        <v>16</v>
      </c>
      <c r="D120" s="1" t="s">
        <v>26</v>
      </c>
      <c r="E120" s="1">
        <v>83</v>
      </c>
      <c r="F120" s="1">
        <v>77</v>
      </c>
      <c r="G120" s="1">
        <v>81</v>
      </c>
      <c r="H120" s="1">
        <v>3</v>
      </c>
      <c r="I120" s="1" t="s">
        <v>243</v>
      </c>
      <c r="J120" s="1" t="str">
        <f t="shared" si="3"/>
        <v>Good</v>
      </c>
    </row>
    <row r="121" spans="1:10" x14ac:dyDescent="0.45">
      <c r="A121" s="1" t="s">
        <v>258</v>
      </c>
      <c r="B121" s="1" t="s">
        <v>259</v>
      </c>
      <c r="C121" s="1" t="s">
        <v>20</v>
      </c>
      <c r="D121" s="1" t="s">
        <v>12</v>
      </c>
      <c r="E121" s="1">
        <v>90</v>
      </c>
      <c r="F121" s="1">
        <v>86</v>
      </c>
      <c r="G121" s="1">
        <v>89</v>
      </c>
      <c r="H121" s="1">
        <v>4</v>
      </c>
      <c r="I121" s="1" t="s">
        <v>243</v>
      </c>
      <c r="J121" s="1" t="str">
        <f t="shared" si="3"/>
        <v>Excellent</v>
      </c>
    </row>
    <row r="122" spans="1:10" x14ac:dyDescent="0.45">
      <c r="A122" s="1" t="s">
        <v>260</v>
      </c>
      <c r="B122" s="1" t="s">
        <v>261</v>
      </c>
      <c r="C122" s="1" t="s">
        <v>11</v>
      </c>
      <c r="D122" s="1" t="s">
        <v>17</v>
      </c>
      <c r="E122" s="1">
        <v>74</v>
      </c>
      <c r="F122" s="1">
        <v>68</v>
      </c>
      <c r="G122" s="1">
        <v>72</v>
      </c>
      <c r="H122" s="1">
        <v>2</v>
      </c>
      <c r="I122" s="1" t="s">
        <v>243</v>
      </c>
      <c r="J122" s="1" t="str">
        <f t="shared" si="3"/>
        <v>Good</v>
      </c>
    </row>
    <row r="123" spans="1:10" x14ac:dyDescent="0.45">
      <c r="A123" s="1" t="s">
        <v>262</v>
      </c>
      <c r="B123" s="1" t="s">
        <v>263</v>
      </c>
      <c r="C123" s="1" t="s">
        <v>16</v>
      </c>
      <c r="D123" s="1" t="s">
        <v>23</v>
      </c>
      <c r="E123" s="1">
        <v>93</v>
      </c>
      <c r="F123" s="1">
        <v>89</v>
      </c>
      <c r="G123" s="1">
        <v>92</v>
      </c>
      <c r="H123" s="1">
        <v>5</v>
      </c>
      <c r="I123" s="1" t="s">
        <v>243</v>
      </c>
      <c r="J123" s="1" t="str">
        <f t="shared" si="3"/>
        <v>Excellent</v>
      </c>
    </row>
    <row r="124" spans="1:10" x14ac:dyDescent="0.45">
      <c r="A124" s="1" t="s">
        <v>264</v>
      </c>
      <c r="B124" s="1" t="s">
        <v>265</v>
      </c>
      <c r="C124" s="1" t="s">
        <v>20</v>
      </c>
      <c r="D124" s="1" t="s">
        <v>26</v>
      </c>
      <c r="E124" s="1">
        <v>81</v>
      </c>
      <c r="F124" s="1">
        <v>75</v>
      </c>
      <c r="G124" s="1">
        <v>79</v>
      </c>
      <c r="H124" s="1">
        <v>3</v>
      </c>
      <c r="I124" s="1" t="s">
        <v>243</v>
      </c>
      <c r="J124" s="1" t="str">
        <f t="shared" si="3"/>
        <v>Good</v>
      </c>
    </row>
    <row r="125" spans="1:10" x14ac:dyDescent="0.45">
      <c r="A125" s="1" t="s">
        <v>266</v>
      </c>
      <c r="B125" s="1" t="s">
        <v>267</v>
      </c>
      <c r="C125" s="1" t="s">
        <v>11</v>
      </c>
      <c r="D125" s="1" t="s">
        <v>12</v>
      </c>
      <c r="E125" s="1">
        <v>87</v>
      </c>
      <c r="F125" s="1">
        <v>82</v>
      </c>
      <c r="G125" s="1">
        <v>85</v>
      </c>
      <c r="H125" s="1">
        <v>4</v>
      </c>
      <c r="I125" s="1" t="s">
        <v>243</v>
      </c>
      <c r="J125" s="1" t="str">
        <f t="shared" si="3"/>
        <v>Excellent</v>
      </c>
    </row>
    <row r="126" spans="1:10" x14ac:dyDescent="0.45">
      <c r="A126" s="1" t="s">
        <v>268</v>
      </c>
      <c r="B126" s="1" t="s">
        <v>269</v>
      </c>
      <c r="C126" s="1" t="s">
        <v>16</v>
      </c>
      <c r="D126" s="1" t="s">
        <v>17</v>
      </c>
      <c r="E126" s="1">
        <v>76</v>
      </c>
      <c r="F126" s="1">
        <v>70</v>
      </c>
      <c r="G126" s="1">
        <v>74</v>
      </c>
      <c r="H126" s="1">
        <v>3</v>
      </c>
      <c r="I126" s="1" t="s">
        <v>243</v>
      </c>
      <c r="J126" s="1" t="str">
        <f t="shared" si="3"/>
        <v>Good</v>
      </c>
    </row>
    <row r="127" spans="1:10" x14ac:dyDescent="0.45">
      <c r="A127" s="1" t="s">
        <v>270</v>
      </c>
      <c r="B127" s="1" t="s">
        <v>271</v>
      </c>
      <c r="C127" s="1" t="s">
        <v>20</v>
      </c>
      <c r="D127" s="1" t="s">
        <v>23</v>
      </c>
      <c r="E127" s="1">
        <v>95</v>
      </c>
      <c r="F127" s="1">
        <v>91</v>
      </c>
      <c r="G127" s="1">
        <v>94</v>
      </c>
      <c r="H127" s="1">
        <v>5</v>
      </c>
      <c r="I127" s="1" t="s">
        <v>243</v>
      </c>
      <c r="J127" s="1" t="str">
        <f t="shared" si="3"/>
        <v>Excellent</v>
      </c>
    </row>
    <row r="128" spans="1:10" x14ac:dyDescent="0.45">
      <c r="A128" s="1" t="s">
        <v>272</v>
      </c>
      <c r="B128" s="1" t="s">
        <v>273</v>
      </c>
      <c r="C128" s="1" t="s">
        <v>11</v>
      </c>
      <c r="D128" s="1" t="s">
        <v>26</v>
      </c>
      <c r="E128" s="1">
        <v>78</v>
      </c>
      <c r="F128" s="1">
        <v>72</v>
      </c>
      <c r="G128" s="1">
        <v>76</v>
      </c>
      <c r="H128" s="1">
        <v>3</v>
      </c>
      <c r="I128" s="1" t="s">
        <v>243</v>
      </c>
      <c r="J128" s="1" t="str">
        <f t="shared" si="3"/>
        <v>Good</v>
      </c>
    </row>
    <row r="129" spans="1:10" x14ac:dyDescent="0.45">
      <c r="A129" s="1" t="s">
        <v>274</v>
      </c>
      <c r="B129" s="1" t="s">
        <v>275</v>
      </c>
      <c r="C129" s="1" t="s">
        <v>16</v>
      </c>
      <c r="D129" s="1" t="s">
        <v>12</v>
      </c>
      <c r="E129" s="1">
        <v>89</v>
      </c>
      <c r="F129" s="1">
        <v>85</v>
      </c>
      <c r="G129" s="1">
        <v>88</v>
      </c>
      <c r="H129" s="1">
        <v>4</v>
      </c>
      <c r="I129" s="1" t="s">
        <v>243</v>
      </c>
      <c r="J129" s="1" t="str">
        <f t="shared" si="3"/>
        <v>Excellent</v>
      </c>
    </row>
    <row r="130" spans="1:10" x14ac:dyDescent="0.45">
      <c r="A130" s="1" t="s">
        <v>276</v>
      </c>
      <c r="B130" s="1" t="s">
        <v>277</v>
      </c>
      <c r="C130" s="1" t="s">
        <v>20</v>
      </c>
      <c r="D130" s="1" t="s">
        <v>17</v>
      </c>
      <c r="E130" s="1">
        <v>72</v>
      </c>
      <c r="F130" s="1">
        <v>66</v>
      </c>
      <c r="G130" s="1">
        <v>70</v>
      </c>
      <c r="H130" s="1">
        <v>2</v>
      </c>
      <c r="I130" s="1" t="s">
        <v>243</v>
      </c>
      <c r="J130" s="1" t="str">
        <f t="shared" ref="J130:J161" si="4">IF(G130&gt;=85,"Excellent",IF(G130&gt;=70,"Good","Needs Improvement"))</f>
        <v>Good</v>
      </c>
    </row>
    <row r="131" spans="1:10" x14ac:dyDescent="0.45">
      <c r="A131" s="1" t="s">
        <v>278</v>
      </c>
      <c r="B131" s="1" t="s">
        <v>279</v>
      </c>
      <c r="C131" s="1" t="s">
        <v>11</v>
      </c>
      <c r="D131" s="1" t="s">
        <v>23</v>
      </c>
      <c r="E131" s="1">
        <v>97</v>
      </c>
      <c r="F131" s="1">
        <v>93</v>
      </c>
      <c r="G131" s="1">
        <v>96</v>
      </c>
      <c r="H131" s="1">
        <v>5</v>
      </c>
      <c r="I131" s="1" t="s">
        <v>243</v>
      </c>
      <c r="J131" s="1" t="str">
        <f t="shared" si="4"/>
        <v>Excellent</v>
      </c>
    </row>
    <row r="132" spans="1:10" x14ac:dyDescent="0.45">
      <c r="A132" s="1" t="s">
        <v>280</v>
      </c>
      <c r="B132" s="1" t="s">
        <v>281</v>
      </c>
      <c r="C132" s="1" t="s">
        <v>16</v>
      </c>
      <c r="D132" s="1" t="s">
        <v>26</v>
      </c>
      <c r="E132" s="1">
        <v>84</v>
      </c>
      <c r="F132" s="1">
        <v>78</v>
      </c>
      <c r="G132" s="1">
        <v>82</v>
      </c>
      <c r="H132" s="1">
        <v>3</v>
      </c>
      <c r="I132" s="1" t="s">
        <v>282</v>
      </c>
      <c r="J132" s="1" t="str">
        <f t="shared" si="4"/>
        <v>Good</v>
      </c>
    </row>
    <row r="133" spans="1:10" x14ac:dyDescent="0.45">
      <c r="A133" s="1" t="s">
        <v>283</v>
      </c>
      <c r="B133" s="1" t="s">
        <v>284</v>
      </c>
      <c r="C133" s="1" t="s">
        <v>20</v>
      </c>
      <c r="D133" s="1" t="s">
        <v>12</v>
      </c>
      <c r="E133" s="1">
        <v>91</v>
      </c>
      <c r="F133" s="1">
        <v>87</v>
      </c>
      <c r="G133" s="1">
        <v>90</v>
      </c>
      <c r="H133" s="1">
        <v>4</v>
      </c>
      <c r="I133" s="1" t="s">
        <v>282</v>
      </c>
      <c r="J133" s="1" t="str">
        <f t="shared" si="4"/>
        <v>Excellent</v>
      </c>
    </row>
    <row r="134" spans="1:10" x14ac:dyDescent="0.45">
      <c r="A134" s="1" t="s">
        <v>285</v>
      </c>
      <c r="B134" s="1" t="s">
        <v>286</v>
      </c>
      <c r="C134" s="1" t="s">
        <v>11</v>
      </c>
      <c r="D134" s="1" t="s">
        <v>17</v>
      </c>
      <c r="E134" s="1">
        <v>75</v>
      </c>
      <c r="F134" s="1">
        <v>69</v>
      </c>
      <c r="G134" s="1">
        <v>73</v>
      </c>
      <c r="H134" s="1">
        <v>2</v>
      </c>
      <c r="I134" s="1" t="s">
        <v>282</v>
      </c>
      <c r="J134" s="1" t="str">
        <f t="shared" si="4"/>
        <v>Good</v>
      </c>
    </row>
    <row r="135" spans="1:10" x14ac:dyDescent="0.45">
      <c r="A135" s="1" t="s">
        <v>287</v>
      </c>
      <c r="B135" s="1" t="s">
        <v>288</v>
      </c>
      <c r="C135" s="1" t="s">
        <v>16</v>
      </c>
      <c r="D135" s="1" t="s">
        <v>23</v>
      </c>
      <c r="E135" s="1">
        <v>92</v>
      </c>
      <c r="F135" s="1">
        <v>88</v>
      </c>
      <c r="G135" s="1">
        <v>91</v>
      </c>
      <c r="H135" s="1">
        <v>5</v>
      </c>
      <c r="I135" s="1" t="s">
        <v>282</v>
      </c>
      <c r="J135" s="1" t="str">
        <f t="shared" si="4"/>
        <v>Excellent</v>
      </c>
    </row>
    <row r="136" spans="1:10" x14ac:dyDescent="0.45">
      <c r="A136" s="1" t="s">
        <v>289</v>
      </c>
      <c r="B136" s="1" t="s">
        <v>290</v>
      </c>
      <c r="C136" s="1" t="s">
        <v>20</v>
      </c>
      <c r="D136" s="1" t="s">
        <v>26</v>
      </c>
      <c r="E136" s="1">
        <v>80</v>
      </c>
      <c r="F136" s="1">
        <v>74</v>
      </c>
      <c r="G136" s="1">
        <v>78</v>
      </c>
      <c r="H136" s="1">
        <v>3</v>
      </c>
      <c r="I136" s="1" t="s">
        <v>282</v>
      </c>
      <c r="J136" s="1" t="str">
        <f t="shared" si="4"/>
        <v>Good</v>
      </c>
    </row>
    <row r="137" spans="1:10" x14ac:dyDescent="0.45">
      <c r="A137" s="1" t="s">
        <v>291</v>
      </c>
      <c r="B137" s="1" t="s">
        <v>292</v>
      </c>
      <c r="C137" s="1" t="s">
        <v>11</v>
      </c>
      <c r="D137" s="1" t="s">
        <v>12</v>
      </c>
      <c r="E137" s="1">
        <v>86</v>
      </c>
      <c r="F137" s="1">
        <v>81</v>
      </c>
      <c r="G137" s="1">
        <v>84</v>
      </c>
      <c r="H137" s="1">
        <v>4</v>
      </c>
      <c r="I137" s="1" t="s">
        <v>282</v>
      </c>
      <c r="J137" s="1" t="str">
        <f t="shared" si="4"/>
        <v>Good</v>
      </c>
    </row>
    <row r="138" spans="1:10" x14ac:dyDescent="0.45">
      <c r="A138" s="1" t="s">
        <v>293</v>
      </c>
      <c r="B138" s="1" t="s">
        <v>294</v>
      </c>
      <c r="C138" s="1" t="s">
        <v>16</v>
      </c>
      <c r="D138" s="1" t="s">
        <v>17</v>
      </c>
      <c r="E138" s="1">
        <v>73</v>
      </c>
      <c r="F138" s="1">
        <v>67</v>
      </c>
      <c r="G138" s="1">
        <v>71</v>
      </c>
      <c r="H138" s="1">
        <v>2</v>
      </c>
      <c r="I138" s="1" t="s">
        <v>282</v>
      </c>
      <c r="J138" s="1" t="str">
        <f t="shared" si="4"/>
        <v>Good</v>
      </c>
    </row>
    <row r="139" spans="1:10" x14ac:dyDescent="0.45">
      <c r="A139" s="1" t="s">
        <v>295</v>
      </c>
      <c r="B139" s="1" t="s">
        <v>296</v>
      </c>
      <c r="C139" s="1" t="s">
        <v>20</v>
      </c>
      <c r="D139" s="1" t="s">
        <v>23</v>
      </c>
      <c r="E139" s="1">
        <v>96</v>
      </c>
      <c r="F139" s="1">
        <v>92</v>
      </c>
      <c r="G139" s="1">
        <v>95</v>
      </c>
      <c r="H139" s="1">
        <v>5</v>
      </c>
      <c r="I139" s="1" t="s">
        <v>282</v>
      </c>
      <c r="J139" s="1" t="str">
        <f t="shared" si="4"/>
        <v>Excellent</v>
      </c>
    </row>
    <row r="140" spans="1:10" x14ac:dyDescent="0.45">
      <c r="A140" s="1" t="s">
        <v>297</v>
      </c>
      <c r="B140" s="1" t="s">
        <v>298</v>
      </c>
      <c r="C140" s="1" t="s">
        <v>11</v>
      </c>
      <c r="D140" s="1" t="s">
        <v>26</v>
      </c>
      <c r="E140" s="1">
        <v>79</v>
      </c>
      <c r="F140" s="1">
        <v>73</v>
      </c>
      <c r="G140" s="1">
        <v>77</v>
      </c>
      <c r="H140" s="1">
        <v>3</v>
      </c>
      <c r="I140" s="1" t="s">
        <v>282</v>
      </c>
      <c r="J140" s="1" t="str">
        <f t="shared" si="4"/>
        <v>Good</v>
      </c>
    </row>
    <row r="141" spans="1:10" x14ac:dyDescent="0.45">
      <c r="A141" s="1" t="s">
        <v>299</v>
      </c>
      <c r="B141" s="1" t="s">
        <v>300</v>
      </c>
      <c r="C141" s="1" t="s">
        <v>16</v>
      </c>
      <c r="D141" s="1" t="s">
        <v>12</v>
      </c>
      <c r="E141" s="1">
        <v>88</v>
      </c>
      <c r="F141" s="1">
        <v>84</v>
      </c>
      <c r="G141" s="1">
        <v>87</v>
      </c>
      <c r="H141" s="1">
        <v>4</v>
      </c>
      <c r="I141" s="1" t="s">
        <v>282</v>
      </c>
      <c r="J141" s="1" t="str">
        <f t="shared" si="4"/>
        <v>Excellent</v>
      </c>
    </row>
    <row r="142" spans="1:10" x14ac:dyDescent="0.45">
      <c r="A142" s="1" t="s">
        <v>301</v>
      </c>
      <c r="B142" s="1" t="s">
        <v>302</v>
      </c>
      <c r="C142" s="1" t="s">
        <v>20</v>
      </c>
      <c r="D142" s="1" t="s">
        <v>17</v>
      </c>
      <c r="E142" s="1">
        <v>71</v>
      </c>
      <c r="F142" s="1">
        <v>65</v>
      </c>
      <c r="G142" s="1">
        <v>69</v>
      </c>
      <c r="H142" s="1">
        <v>2</v>
      </c>
      <c r="I142" s="1" t="s">
        <v>282</v>
      </c>
      <c r="J142" s="1" t="str">
        <f t="shared" si="4"/>
        <v>Needs Improvement</v>
      </c>
    </row>
    <row r="143" spans="1:10" x14ac:dyDescent="0.45">
      <c r="A143" s="1" t="s">
        <v>303</v>
      </c>
      <c r="B143" s="1" t="s">
        <v>304</v>
      </c>
      <c r="C143" s="1" t="s">
        <v>11</v>
      </c>
      <c r="D143" s="1" t="s">
        <v>23</v>
      </c>
      <c r="E143" s="1">
        <v>98</v>
      </c>
      <c r="F143" s="1">
        <v>94</v>
      </c>
      <c r="G143" s="1">
        <v>97</v>
      </c>
      <c r="H143" s="1">
        <v>5</v>
      </c>
      <c r="I143" s="1" t="s">
        <v>282</v>
      </c>
      <c r="J143" s="1" t="str">
        <f t="shared" si="4"/>
        <v>Excellent</v>
      </c>
    </row>
    <row r="144" spans="1:10" x14ac:dyDescent="0.45">
      <c r="A144" s="1" t="s">
        <v>305</v>
      </c>
      <c r="B144" s="1" t="s">
        <v>306</v>
      </c>
      <c r="C144" s="1" t="s">
        <v>16</v>
      </c>
      <c r="D144" s="1" t="s">
        <v>26</v>
      </c>
      <c r="E144" s="1">
        <v>83</v>
      </c>
      <c r="F144" s="1">
        <v>77</v>
      </c>
      <c r="G144" s="1">
        <v>81</v>
      </c>
      <c r="H144" s="1">
        <v>3</v>
      </c>
      <c r="I144" s="1" t="s">
        <v>282</v>
      </c>
      <c r="J144" s="1" t="str">
        <f t="shared" si="4"/>
        <v>Good</v>
      </c>
    </row>
    <row r="145" spans="1:10" x14ac:dyDescent="0.45">
      <c r="A145" s="1" t="s">
        <v>307</v>
      </c>
      <c r="B145" s="1" t="s">
        <v>308</v>
      </c>
      <c r="C145" s="1" t="s">
        <v>20</v>
      </c>
      <c r="D145" s="1" t="s">
        <v>12</v>
      </c>
      <c r="E145" s="1">
        <v>90</v>
      </c>
      <c r="F145" s="1">
        <v>86</v>
      </c>
      <c r="G145" s="1">
        <v>89</v>
      </c>
      <c r="H145" s="1">
        <v>4</v>
      </c>
      <c r="I145" s="1" t="s">
        <v>282</v>
      </c>
      <c r="J145" s="1" t="str">
        <f t="shared" si="4"/>
        <v>Excellent</v>
      </c>
    </row>
    <row r="146" spans="1:10" x14ac:dyDescent="0.45">
      <c r="A146" s="1" t="s">
        <v>309</v>
      </c>
      <c r="B146" s="1" t="s">
        <v>310</v>
      </c>
      <c r="C146" s="1" t="s">
        <v>11</v>
      </c>
      <c r="D146" s="1" t="s">
        <v>17</v>
      </c>
      <c r="E146" s="1">
        <v>74</v>
      </c>
      <c r="F146" s="1">
        <v>68</v>
      </c>
      <c r="G146" s="1">
        <v>72</v>
      </c>
      <c r="H146" s="1">
        <v>2</v>
      </c>
      <c r="I146" s="1" t="s">
        <v>282</v>
      </c>
      <c r="J146" s="1" t="str">
        <f t="shared" si="4"/>
        <v>Good</v>
      </c>
    </row>
    <row r="147" spans="1:10" x14ac:dyDescent="0.45">
      <c r="A147" s="1" t="s">
        <v>311</v>
      </c>
      <c r="B147" s="1" t="s">
        <v>312</v>
      </c>
      <c r="C147" s="1" t="s">
        <v>16</v>
      </c>
      <c r="D147" s="1" t="s">
        <v>23</v>
      </c>
      <c r="E147" s="1">
        <v>93</v>
      </c>
      <c r="F147" s="1">
        <v>89</v>
      </c>
      <c r="G147" s="1">
        <v>92</v>
      </c>
      <c r="H147" s="1">
        <v>5</v>
      </c>
      <c r="I147" s="1" t="s">
        <v>282</v>
      </c>
      <c r="J147" s="1" t="str">
        <f t="shared" si="4"/>
        <v>Excellent</v>
      </c>
    </row>
    <row r="148" spans="1:10" x14ac:dyDescent="0.45">
      <c r="A148" s="1" t="s">
        <v>313</v>
      </c>
      <c r="B148" s="1" t="s">
        <v>314</v>
      </c>
      <c r="C148" s="1" t="s">
        <v>20</v>
      </c>
      <c r="D148" s="1" t="s">
        <v>26</v>
      </c>
      <c r="E148" s="1">
        <v>81</v>
      </c>
      <c r="F148" s="1">
        <v>75</v>
      </c>
      <c r="G148" s="1">
        <v>79</v>
      </c>
      <c r="H148" s="1">
        <v>3</v>
      </c>
      <c r="I148" s="1" t="s">
        <v>282</v>
      </c>
      <c r="J148" s="1" t="str">
        <f t="shared" si="4"/>
        <v>Good</v>
      </c>
    </row>
    <row r="149" spans="1:10" x14ac:dyDescent="0.45">
      <c r="A149" s="1" t="s">
        <v>315</v>
      </c>
      <c r="B149" s="1" t="s">
        <v>316</v>
      </c>
      <c r="C149" s="1" t="s">
        <v>11</v>
      </c>
      <c r="D149" s="1" t="s">
        <v>12</v>
      </c>
      <c r="E149" s="1">
        <v>87</v>
      </c>
      <c r="F149" s="1">
        <v>82</v>
      </c>
      <c r="G149" s="1">
        <v>85</v>
      </c>
      <c r="H149" s="1">
        <v>4</v>
      </c>
      <c r="I149" s="1" t="s">
        <v>282</v>
      </c>
      <c r="J149" s="1" t="str">
        <f t="shared" si="4"/>
        <v>Excellent</v>
      </c>
    </row>
    <row r="150" spans="1:10" x14ac:dyDescent="0.45">
      <c r="A150" s="1" t="s">
        <v>317</v>
      </c>
      <c r="B150" s="1" t="s">
        <v>318</v>
      </c>
      <c r="C150" s="1" t="s">
        <v>16</v>
      </c>
      <c r="D150" s="1" t="s">
        <v>17</v>
      </c>
      <c r="E150" s="1">
        <v>76</v>
      </c>
      <c r="F150" s="1">
        <v>70</v>
      </c>
      <c r="G150" s="1">
        <v>74</v>
      </c>
      <c r="H150" s="1">
        <v>3</v>
      </c>
      <c r="I150" s="1" t="s">
        <v>282</v>
      </c>
      <c r="J150" s="1" t="str">
        <f t="shared" si="4"/>
        <v>Good</v>
      </c>
    </row>
    <row r="151" spans="1:10" x14ac:dyDescent="0.45">
      <c r="A151" s="1" t="s">
        <v>319</v>
      </c>
      <c r="B151" s="1" t="s">
        <v>320</v>
      </c>
      <c r="C151" s="1" t="s">
        <v>20</v>
      </c>
      <c r="D151" s="1" t="s">
        <v>23</v>
      </c>
      <c r="E151" s="1">
        <v>95</v>
      </c>
      <c r="F151" s="1">
        <v>91</v>
      </c>
      <c r="G151" s="1">
        <v>94</v>
      </c>
      <c r="H151" s="1">
        <v>5</v>
      </c>
      <c r="I151" s="1" t="s">
        <v>282</v>
      </c>
      <c r="J151" s="1" t="str">
        <f t="shared" si="4"/>
        <v>Excellent</v>
      </c>
    </row>
    <row r="152" spans="1:10" x14ac:dyDescent="0.45">
      <c r="A152" s="1" t="s">
        <v>321</v>
      </c>
      <c r="B152" s="1" t="s">
        <v>322</v>
      </c>
      <c r="C152" s="1" t="s">
        <v>11</v>
      </c>
      <c r="D152" s="1" t="s">
        <v>26</v>
      </c>
      <c r="E152" s="1">
        <v>78</v>
      </c>
      <c r="F152" s="1">
        <v>72</v>
      </c>
      <c r="G152" s="1">
        <v>76</v>
      </c>
      <c r="H152" s="1">
        <v>3</v>
      </c>
      <c r="I152" s="1" t="s">
        <v>323</v>
      </c>
      <c r="J152" s="1" t="str">
        <f t="shared" si="4"/>
        <v>Good</v>
      </c>
    </row>
    <row r="153" spans="1:10" x14ac:dyDescent="0.45">
      <c r="A153" s="1" t="s">
        <v>324</v>
      </c>
      <c r="B153" s="1" t="s">
        <v>325</v>
      </c>
      <c r="C153" s="1" t="s">
        <v>16</v>
      </c>
      <c r="D153" s="1" t="s">
        <v>12</v>
      </c>
      <c r="E153" s="1">
        <v>89</v>
      </c>
      <c r="F153" s="1">
        <v>85</v>
      </c>
      <c r="G153" s="1">
        <v>88</v>
      </c>
      <c r="H153" s="1">
        <v>4</v>
      </c>
      <c r="I153" s="1" t="s">
        <v>323</v>
      </c>
      <c r="J153" s="1" t="str">
        <f t="shared" si="4"/>
        <v>Excellent</v>
      </c>
    </row>
    <row r="154" spans="1:10" x14ac:dyDescent="0.45">
      <c r="A154" s="1" t="s">
        <v>326</v>
      </c>
      <c r="B154" s="1" t="s">
        <v>327</v>
      </c>
      <c r="C154" s="1" t="s">
        <v>20</v>
      </c>
      <c r="D154" s="1" t="s">
        <v>17</v>
      </c>
      <c r="E154" s="1">
        <v>72</v>
      </c>
      <c r="F154" s="1">
        <v>66</v>
      </c>
      <c r="G154" s="1">
        <v>70</v>
      </c>
      <c r="H154" s="1">
        <v>2</v>
      </c>
      <c r="I154" s="1" t="s">
        <v>323</v>
      </c>
      <c r="J154" s="1" t="str">
        <f t="shared" si="4"/>
        <v>Good</v>
      </c>
    </row>
    <row r="155" spans="1:10" x14ac:dyDescent="0.45">
      <c r="A155" s="1" t="s">
        <v>328</v>
      </c>
      <c r="B155" s="1" t="s">
        <v>329</v>
      </c>
      <c r="C155" s="1" t="s">
        <v>11</v>
      </c>
      <c r="D155" s="1" t="s">
        <v>23</v>
      </c>
      <c r="E155" s="1">
        <v>97</v>
      </c>
      <c r="F155" s="1">
        <v>93</v>
      </c>
      <c r="G155" s="1">
        <v>96</v>
      </c>
      <c r="H155" s="1">
        <v>5</v>
      </c>
      <c r="I155" s="1" t="s">
        <v>323</v>
      </c>
      <c r="J155" s="1" t="str">
        <f t="shared" si="4"/>
        <v>Excellent</v>
      </c>
    </row>
    <row r="156" spans="1:10" x14ac:dyDescent="0.45">
      <c r="A156" s="1" t="s">
        <v>330</v>
      </c>
      <c r="B156" s="1" t="s">
        <v>331</v>
      </c>
      <c r="C156" s="1" t="s">
        <v>16</v>
      </c>
      <c r="D156" s="1" t="s">
        <v>26</v>
      </c>
      <c r="E156" s="1">
        <v>84</v>
      </c>
      <c r="F156" s="1">
        <v>78</v>
      </c>
      <c r="G156" s="1">
        <v>82</v>
      </c>
      <c r="H156" s="1">
        <v>3</v>
      </c>
      <c r="I156" s="1" t="s">
        <v>323</v>
      </c>
      <c r="J156" s="1" t="str">
        <f t="shared" si="4"/>
        <v>Good</v>
      </c>
    </row>
    <row r="157" spans="1:10" x14ac:dyDescent="0.45">
      <c r="A157" s="1" t="s">
        <v>332</v>
      </c>
      <c r="B157" s="1" t="s">
        <v>103</v>
      </c>
      <c r="C157" s="1" t="s">
        <v>20</v>
      </c>
      <c r="D157" s="1" t="s">
        <v>12</v>
      </c>
      <c r="E157" s="1">
        <v>91</v>
      </c>
      <c r="F157" s="1">
        <v>87</v>
      </c>
      <c r="G157" s="1">
        <v>90</v>
      </c>
      <c r="H157" s="1">
        <v>4</v>
      </c>
      <c r="I157" s="1" t="s">
        <v>323</v>
      </c>
      <c r="J157" s="1" t="str">
        <f t="shared" si="4"/>
        <v>Excellent</v>
      </c>
    </row>
    <row r="158" spans="1:10" x14ac:dyDescent="0.45">
      <c r="A158" s="1" t="s">
        <v>333</v>
      </c>
      <c r="B158" s="1" t="s">
        <v>334</v>
      </c>
      <c r="C158" s="1" t="s">
        <v>11</v>
      </c>
      <c r="D158" s="1" t="s">
        <v>17</v>
      </c>
      <c r="E158" s="1">
        <v>75</v>
      </c>
      <c r="F158" s="1">
        <v>69</v>
      </c>
      <c r="G158" s="1">
        <v>73</v>
      </c>
      <c r="H158" s="1">
        <v>2</v>
      </c>
      <c r="I158" s="1" t="s">
        <v>323</v>
      </c>
      <c r="J158" s="1" t="str">
        <f t="shared" si="4"/>
        <v>Good</v>
      </c>
    </row>
    <row r="159" spans="1:10" x14ac:dyDescent="0.45">
      <c r="A159" s="1" t="s">
        <v>335</v>
      </c>
      <c r="B159" s="1" t="s">
        <v>336</v>
      </c>
      <c r="C159" s="1" t="s">
        <v>16</v>
      </c>
      <c r="D159" s="1" t="s">
        <v>23</v>
      </c>
      <c r="E159" s="1">
        <v>92</v>
      </c>
      <c r="F159" s="1">
        <v>88</v>
      </c>
      <c r="G159" s="1">
        <v>91</v>
      </c>
      <c r="H159" s="1">
        <v>5</v>
      </c>
      <c r="I159" s="1" t="s">
        <v>323</v>
      </c>
      <c r="J159" s="1" t="str">
        <f t="shared" si="4"/>
        <v>Excellent</v>
      </c>
    </row>
    <row r="160" spans="1:10" x14ac:dyDescent="0.45">
      <c r="A160" s="1" t="s">
        <v>337</v>
      </c>
      <c r="B160" s="1" t="s">
        <v>338</v>
      </c>
      <c r="C160" s="1" t="s">
        <v>20</v>
      </c>
      <c r="D160" s="1" t="s">
        <v>26</v>
      </c>
      <c r="E160" s="1">
        <v>80</v>
      </c>
      <c r="F160" s="1">
        <v>74</v>
      </c>
      <c r="G160" s="1">
        <v>78</v>
      </c>
      <c r="H160" s="1">
        <v>3</v>
      </c>
      <c r="I160" s="1" t="s">
        <v>323</v>
      </c>
      <c r="J160" s="1" t="str">
        <f t="shared" si="4"/>
        <v>Good</v>
      </c>
    </row>
    <row r="161" spans="1:10" x14ac:dyDescent="0.45">
      <c r="A161" s="1" t="s">
        <v>339</v>
      </c>
      <c r="B161" s="1" t="s">
        <v>340</v>
      </c>
      <c r="C161" s="1" t="s">
        <v>11</v>
      </c>
      <c r="D161" s="1" t="s">
        <v>12</v>
      </c>
      <c r="E161" s="1">
        <v>86</v>
      </c>
      <c r="F161" s="1">
        <v>81</v>
      </c>
      <c r="G161" s="1">
        <v>84</v>
      </c>
      <c r="H161" s="1">
        <v>4</v>
      </c>
      <c r="I161" s="1" t="s">
        <v>323</v>
      </c>
      <c r="J161" s="1" t="str">
        <f t="shared" si="4"/>
        <v>Good</v>
      </c>
    </row>
    <row r="162" spans="1:10" x14ac:dyDescent="0.45">
      <c r="A162" s="1" t="s">
        <v>341</v>
      </c>
      <c r="B162" s="1" t="s">
        <v>342</v>
      </c>
      <c r="C162" s="1" t="s">
        <v>16</v>
      </c>
      <c r="D162" s="1" t="s">
        <v>17</v>
      </c>
      <c r="E162" s="1">
        <v>73</v>
      </c>
      <c r="F162" s="1">
        <v>67</v>
      </c>
      <c r="G162" s="1">
        <v>71</v>
      </c>
      <c r="H162" s="1">
        <v>2</v>
      </c>
      <c r="I162" s="1" t="s">
        <v>323</v>
      </c>
      <c r="J162" s="1" t="str">
        <f t="shared" ref="J162:J193" si="5">IF(G162&gt;=85,"Excellent",IF(G162&gt;=70,"Good","Needs Improvement"))</f>
        <v>Good</v>
      </c>
    </row>
    <row r="163" spans="1:10" x14ac:dyDescent="0.45">
      <c r="A163" s="1" t="s">
        <v>343</v>
      </c>
      <c r="B163" s="1" t="s">
        <v>115</v>
      </c>
      <c r="C163" s="1" t="s">
        <v>20</v>
      </c>
      <c r="D163" s="1" t="s">
        <v>23</v>
      </c>
      <c r="E163" s="1">
        <v>96</v>
      </c>
      <c r="F163" s="1">
        <v>92</v>
      </c>
      <c r="G163" s="1">
        <v>95</v>
      </c>
      <c r="H163" s="1">
        <v>5</v>
      </c>
      <c r="I163" s="1" t="s">
        <v>323</v>
      </c>
      <c r="J163" s="1" t="str">
        <f t="shared" si="5"/>
        <v>Excellent</v>
      </c>
    </row>
    <row r="164" spans="1:10" x14ac:dyDescent="0.45">
      <c r="A164" s="1" t="s">
        <v>344</v>
      </c>
      <c r="B164" s="1" t="s">
        <v>345</v>
      </c>
      <c r="C164" s="1" t="s">
        <v>11</v>
      </c>
      <c r="D164" s="1" t="s">
        <v>26</v>
      </c>
      <c r="E164" s="1">
        <v>79</v>
      </c>
      <c r="F164" s="1">
        <v>73</v>
      </c>
      <c r="G164" s="1">
        <v>77</v>
      </c>
      <c r="H164" s="1">
        <v>3</v>
      </c>
      <c r="I164" s="1" t="s">
        <v>323</v>
      </c>
      <c r="J164" s="1" t="str">
        <f t="shared" si="5"/>
        <v>Good</v>
      </c>
    </row>
    <row r="165" spans="1:10" x14ac:dyDescent="0.45">
      <c r="A165" s="1" t="s">
        <v>346</v>
      </c>
      <c r="B165" s="1" t="s">
        <v>218</v>
      </c>
      <c r="C165" s="1" t="s">
        <v>16</v>
      </c>
      <c r="D165" s="1" t="s">
        <v>12</v>
      </c>
      <c r="E165" s="1">
        <v>88</v>
      </c>
      <c r="F165" s="1">
        <v>84</v>
      </c>
      <c r="G165" s="1">
        <v>87</v>
      </c>
      <c r="H165" s="1">
        <v>4</v>
      </c>
      <c r="I165" s="1" t="s">
        <v>323</v>
      </c>
      <c r="J165" s="1" t="str">
        <f t="shared" si="5"/>
        <v>Excellent</v>
      </c>
    </row>
    <row r="166" spans="1:10" x14ac:dyDescent="0.45">
      <c r="A166" s="1" t="s">
        <v>347</v>
      </c>
      <c r="B166" s="1" t="s">
        <v>348</v>
      </c>
      <c r="C166" s="1" t="s">
        <v>20</v>
      </c>
      <c r="D166" s="1" t="s">
        <v>17</v>
      </c>
      <c r="E166" s="1">
        <v>71</v>
      </c>
      <c r="F166" s="1">
        <v>65</v>
      </c>
      <c r="G166" s="1">
        <v>69</v>
      </c>
      <c r="H166" s="1">
        <v>2</v>
      </c>
      <c r="I166" s="1" t="s">
        <v>323</v>
      </c>
      <c r="J166" s="1" t="str">
        <f t="shared" si="5"/>
        <v>Needs Improvement</v>
      </c>
    </row>
    <row r="167" spans="1:10" x14ac:dyDescent="0.45">
      <c r="A167" s="1" t="s">
        <v>349</v>
      </c>
      <c r="B167" s="1" t="s">
        <v>350</v>
      </c>
      <c r="C167" s="1" t="s">
        <v>11</v>
      </c>
      <c r="D167" s="1" t="s">
        <v>23</v>
      </c>
      <c r="E167" s="1">
        <v>98</v>
      </c>
      <c r="F167" s="1">
        <v>94</v>
      </c>
      <c r="G167" s="1">
        <v>97</v>
      </c>
      <c r="H167" s="1">
        <v>5</v>
      </c>
      <c r="I167" s="1" t="s">
        <v>323</v>
      </c>
      <c r="J167" s="1" t="str">
        <f t="shared" si="5"/>
        <v>Excellent</v>
      </c>
    </row>
    <row r="168" spans="1:10" x14ac:dyDescent="0.45">
      <c r="A168" s="1" t="s">
        <v>351</v>
      </c>
      <c r="B168" s="1" t="s">
        <v>352</v>
      </c>
      <c r="C168" s="1" t="s">
        <v>16</v>
      </c>
      <c r="D168" s="1" t="s">
        <v>26</v>
      </c>
      <c r="E168" s="1">
        <v>83</v>
      </c>
      <c r="F168" s="1">
        <v>77</v>
      </c>
      <c r="G168" s="1">
        <v>81</v>
      </c>
      <c r="H168" s="1">
        <v>3</v>
      </c>
      <c r="I168" s="1" t="s">
        <v>323</v>
      </c>
      <c r="J168" s="1" t="str">
        <f t="shared" si="5"/>
        <v>Good</v>
      </c>
    </row>
    <row r="169" spans="1:10" x14ac:dyDescent="0.45">
      <c r="A169" s="1" t="s">
        <v>353</v>
      </c>
      <c r="B169" s="1" t="s">
        <v>83</v>
      </c>
      <c r="C169" s="1" t="s">
        <v>20</v>
      </c>
      <c r="D169" s="1" t="s">
        <v>12</v>
      </c>
      <c r="E169" s="1">
        <v>90</v>
      </c>
      <c r="F169" s="1">
        <v>86</v>
      </c>
      <c r="G169" s="1">
        <v>89</v>
      </c>
      <c r="H169" s="1">
        <v>4</v>
      </c>
      <c r="I169" s="1" t="s">
        <v>323</v>
      </c>
      <c r="J169" s="1" t="str">
        <f t="shared" si="5"/>
        <v>Excellent</v>
      </c>
    </row>
    <row r="170" spans="1:10" x14ac:dyDescent="0.45">
      <c r="A170" s="1" t="s">
        <v>354</v>
      </c>
      <c r="B170" s="1" t="s">
        <v>355</v>
      </c>
      <c r="C170" s="1" t="s">
        <v>11</v>
      </c>
      <c r="D170" s="1" t="s">
        <v>17</v>
      </c>
      <c r="E170" s="1">
        <v>74</v>
      </c>
      <c r="F170" s="1">
        <v>68</v>
      </c>
      <c r="G170" s="1">
        <v>72</v>
      </c>
      <c r="H170" s="1">
        <v>2</v>
      </c>
      <c r="I170" s="1" t="s">
        <v>323</v>
      </c>
      <c r="J170" s="1" t="str">
        <f t="shared" si="5"/>
        <v>Good</v>
      </c>
    </row>
    <row r="171" spans="1:10" x14ac:dyDescent="0.45">
      <c r="A171" s="1" t="s">
        <v>356</v>
      </c>
      <c r="B171" s="1" t="s">
        <v>357</v>
      </c>
      <c r="C171" s="1" t="s">
        <v>16</v>
      </c>
      <c r="D171" s="1" t="s">
        <v>23</v>
      </c>
      <c r="E171" s="1">
        <v>93</v>
      </c>
      <c r="F171" s="1">
        <v>89</v>
      </c>
      <c r="G171" s="1">
        <v>92</v>
      </c>
      <c r="H171" s="1">
        <v>5</v>
      </c>
      <c r="I171" s="1" t="s">
        <v>323</v>
      </c>
      <c r="J171" s="1" t="str">
        <f t="shared" si="5"/>
        <v>Excellent</v>
      </c>
    </row>
    <row r="172" spans="1:10" x14ac:dyDescent="0.45">
      <c r="A172" s="1" t="s">
        <v>358</v>
      </c>
      <c r="B172" s="1" t="s">
        <v>359</v>
      </c>
      <c r="C172" s="1" t="s">
        <v>20</v>
      </c>
      <c r="D172" s="1" t="s">
        <v>26</v>
      </c>
      <c r="E172" s="1">
        <v>81</v>
      </c>
      <c r="F172" s="1">
        <v>75</v>
      </c>
      <c r="G172" s="1">
        <v>79</v>
      </c>
      <c r="H172" s="1">
        <v>3</v>
      </c>
      <c r="I172" s="1" t="s">
        <v>360</v>
      </c>
      <c r="J172" s="1" t="str">
        <f t="shared" si="5"/>
        <v>Good</v>
      </c>
    </row>
    <row r="173" spans="1:10" x14ac:dyDescent="0.45">
      <c r="A173" s="1" t="s">
        <v>361</v>
      </c>
      <c r="B173" s="1" t="s">
        <v>362</v>
      </c>
      <c r="C173" s="1" t="s">
        <v>11</v>
      </c>
      <c r="D173" s="1" t="s">
        <v>12</v>
      </c>
      <c r="E173" s="1">
        <v>87</v>
      </c>
      <c r="F173" s="1">
        <v>82</v>
      </c>
      <c r="G173" s="1">
        <v>85</v>
      </c>
      <c r="H173" s="1">
        <v>4</v>
      </c>
      <c r="I173" s="1" t="s">
        <v>360</v>
      </c>
      <c r="J173" s="1" t="str">
        <f t="shared" si="5"/>
        <v>Excellent</v>
      </c>
    </row>
    <row r="174" spans="1:10" x14ac:dyDescent="0.45">
      <c r="A174" s="1" t="s">
        <v>363</v>
      </c>
      <c r="B174" s="1" t="s">
        <v>364</v>
      </c>
      <c r="C174" s="1" t="s">
        <v>16</v>
      </c>
      <c r="D174" s="1" t="s">
        <v>17</v>
      </c>
      <c r="E174" s="1">
        <v>76</v>
      </c>
      <c r="F174" s="1">
        <v>70</v>
      </c>
      <c r="G174" s="1">
        <v>74</v>
      </c>
      <c r="H174" s="1">
        <v>3</v>
      </c>
      <c r="I174" s="1" t="s">
        <v>360</v>
      </c>
      <c r="J174" s="1" t="str">
        <f t="shared" si="5"/>
        <v>Good</v>
      </c>
    </row>
    <row r="175" spans="1:10" x14ac:dyDescent="0.45">
      <c r="A175" s="1" t="s">
        <v>365</v>
      </c>
      <c r="B175" s="1" t="s">
        <v>169</v>
      </c>
      <c r="C175" s="1" t="s">
        <v>20</v>
      </c>
      <c r="D175" s="1" t="s">
        <v>23</v>
      </c>
      <c r="E175" s="1">
        <v>95</v>
      </c>
      <c r="F175" s="1">
        <v>91</v>
      </c>
      <c r="G175" s="1">
        <v>94</v>
      </c>
      <c r="H175" s="1">
        <v>5</v>
      </c>
      <c r="I175" s="1" t="s">
        <v>360</v>
      </c>
      <c r="J175" s="1" t="str">
        <f t="shared" si="5"/>
        <v>Excellent</v>
      </c>
    </row>
    <row r="176" spans="1:10" x14ac:dyDescent="0.45">
      <c r="A176" s="1" t="s">
        <v>366</v>
      </c>
      <c r="B176" s="1" t="s">
        <v>367</v>
      </c>
      <c r="C176" s="1" t="s">
        <v>11</v>
      </c>
      <c r="D176" s="1" t="s">
        <v>26</v>
      </c>
      <c r="E176" s="1">
        <v>78</v>
      </c>
      <c r="F176" s="1">
        <v>72</v>
      </c>
      <c r="G176" s="1">
        <v>76</v>
      </c>
      <c r="H176" s="1">
        <v>3</v>
      </c>
      <c r="I176" s="1" t="s">
        <v>360</v>
      </c>
      <c r="J176" s="1" t="str">
        <f t="shared" si="5"/>
        <v>Good</v>
      </c>
    </row>
    <row r="177" spans="1:10" x14ac:dyDescent="0.45">
      <c r="A177" s="1" t="s">
        <v>368</v>
      </c>
      <c r="B177" s="1" t="s">
        <v>369</v>
      </c>
      <c r="C177" s="1" t="s">
        <v>16</v>
      </c>
      <c r="D177" s="1" t="s">
        <v>12</v>
      </c>
      <c r="E177" s="1">
        <v>89</v>
      </c>
      <c r="F177" s="1">
        <v>85</v>
      </c>
      <c r="G177" s="1">
        <v>88</v>
      </c>
      <c r="H177" s="1">
        <v>4</v>
      </c>
      <c r="I177" s="1" t="s">
        <v>360</v>
      </c>
      <c r="J177" s="1" t="str">
        <f t="shared" si="5"/>
        <v>Excellent</v>
      </c>
    </row>
    <row r="178" spans="1:10" x14ac:dyDescent="0.45">
      <c r="A178" s="1" t="s">
        <v>370</v>
      </c>
      <c r="B178" s="1" t="s">
        <v>371</v>
      </c>
      <c r="C178" s="1" t="s">
        <v>20</v>
      </c>
      <c r="D178" s="1" t="s">
        <v>17</v>
      </c>
      <c r="E178" s="1">
        <v>72</v>
      </c>
      <c r="F178" s="1">
        <v>66</v>
      </c>
      <c r="G178" s="1">
        <v>70</v>
      </c>
      <c r="H178" s="1">
        <v>2</v>
      </c>
      <c r="I178" s="1" t="s">
        <v>360</v>
      </c>
      <c r="J178" s="1" t="str">
        <f t="shared" si="5"/>
        <v>Good</v>
      </c>
    </row>
    <row r="179" spans="1:10" x14ac:dyDescent="0.45">
      <c r="A179" s="1" t="s">
        <v>372</v>
      </c>
      <c r="B179" s="1" t="s">
        <v>373</v>
      </c>
      <c r="C179" s="1" t="s">
        <v>11</v>
      </c>
      <c r="D179" s="1" t="s">
        <v>23</v>
      </c>
      <c r="E179" s="1">
        <v>97</v>
      </c>
      <c r="F179" s="1">
        <v>93</v>
      </c>
      <c r="G179" s="1">
        <v>96</v>
      </c>
      <c r="H179" s="1">
        <v>5</v>
      </c>
      <c r="I179" s="1" t="s">
        <v>360</v>
      </c>
      <c r="J179" s="1" t="str">
        <f t="shared" si="5"/>
        <v>Excellent</v>
      </c>
    </row>
    <row r="180" spans="1:10" x14ac:dyDescent="0.45">
      <c r="A180" s="1" t="s">
        <v>374</v>
      </c>
      <c r="B180" s="1" t="s">
        <v>375</v>
      </c>
      <c r="C180" s="1" t="s">
        <v>16</v>
      </c>
      <c r="D180" s="1" t="s">
        <v>26</v>
      </c>
      <c r="E180" s="1">
        <v>84</v>
      </c>
      <c r="F180" s="1">
        <v>78</v>
      </c>
      <c r="G180" s="1">
        <v>82</v>
      </c>
      <c r="H180" s="1">
        <v>3</v>
      </c>
      <c r="I180" s="1" t="s">
        <v>360</v>
      </c>
      <c r="J180" s="1" t="str">
        <f t="shared" si="5"/>
        <v>Good</v>
      </c>
    </row>
    <row r="181" spans="1:10" x14ac:dyDescent="0.45">
      <c r="A181" s="1" t="s">
        <v>376</v>
      </c>
      <c r="B181" s="1" t="s">
        <v>377</v>
      </c>
      <c r="C181" s="1" t="s">
        <v>20</v>
      </c>
      <c r="D181" s="1" t="s">
        <v>12</v>
      </c>
      <c r="E181" s="1">
        <v>91</v>
      </c>
      <c r="F181" s="1">
        <v>87</v>
      </c>
      <c r="G181" s="1">
        <v>90</v>
      </c>
      <c r="H181" s="1">
        <v>4</v>
      </c>
      <c r="I181" s="1" t="s">
        <v>360</v>
      </c>
      <c r="J181" s="1" t="str">
        <f t="shared" si="5"/>
        <v>Excellent</v>
      </c>
    </row>
    <row r="182" spans="1:10" x14ac:dyDescent="0.45">
      <c r="A182" s="1" t="s">
        <v>378</v>
      </c>
      <c r="B182" s="1" t="s">
        <v>379</v>
      </c>
      <c r="C182" s="1" t="s">
        <v>11</v>
      </c>
      <c r="D182" s="1" t="s">
        <v>17</v>
      </c>
      <c r="E182" s="1">
        <v>75</v>
      </c>
      <c r="F182" s="1">
        <v>69</v>
      </c>
      <c r="G182" s="1">
        <v>73</v>
      </c>
      <c r="H182" s="1">
        <v>2</v>
      </c>
      <c r="I182" s="1" t="s">
        <v>360</v>
      </c>
      <c r="J182" s="1" t="str">
        <f t="shared" si="5"/>
        <v>Good</v>
      </c>
    </row>
    <row r="183" spans="1:10" x14ac:dyDescent="0.45">
      <c r="A183" s="1" t="s">
        <v>380</v>
      </c>
      <c r="B183" s="1" t="s">
        <v>381</v>
      </c>
      <c r="C183" s="1" t="s">
        <v>16</v>
      </c>
      <c r="D183" s="1" t="s">
        <v>23</v>
      </c>
      <c r="E183" s="1">
        <v>92</v>
      </c>
      <c r="F183" s="1">
        <v>88</v>
      </c>
      <c r="G183" s="1">
        <v>91</v>
      </c>
      <c r="H183" s="1">
        <v>5</v>
      </c>
      <c r="I183" s="1" t="s">
        <v>360</v>
      </c>
      <c r="J183" s="1" t="str">
        <f t="shared" si="5"/>
        <v>Excellent</v>
      </c>
    </row>
    <row r="184" spans="1:10" x14ac:dyDescent="0.45">
      <c r="A184" s="1" t="s">
        <v>382</v>
      </c>
      <c r="B184" s="1" t="s">
        <v>383</v>
      </c>
      <c r="C184" s="1" t="s">
        <v>20</v>
      </c>
      <c r="D184" s="1" t="s">
        <v>26</v>
      </c>
      <c r="E184" s="1">
        <v>80</v>
      </c>
      <c r="F184" s="1">
        <v>74</v>
      </c>
      <c r="G184" s="1">
        <v>78</v>
      </c>
      <c r="H184" s="1">
        <v>3</v>
      </c>
      <c r="I184" s="1" t="s">
        <v>360</v>
      </c>
      <c r="J184" s="1" t="str">
        <f t="shared" si="5"/>
        <v>Good</v>
      </c>
    </row>
    <row r="185" spans="1:10" x14ac:dyDescent="0.45">
      <c r="A185" s="1" t="s">
        <v>384</v>
      </c>
      <c r="B185" s="1" t="s">
        <v>136</v>
      </c>
      <c r="C185" s="1" t="s">
        <v>11</v>
      </c>
      <c r="D185" s="1" t="s">
        <v>12</v>
      </c>
      <c r="E185" s="1">
        <v>86</v>
      </c>
      <c r="F185" s="1">
        <v>81</v>
      </c>
      <c r="G185" s="1">
        <v>84</v>
      </c>
      <c r="H185" s="1">
        <v>4</v>
      </c>
      <c r="I185" s="1" t="s">
        <v>360</v>
      </c>
      <c r="J185" s="1" t="str">
        <f t="shared" si="5"/>
        <v>Good</v>
      </c>
    </row>
    <row r="186" spans="1:10" x14ac:dyDescent="0.45">
      <c r="A186" s="1" t="s">
        <v>385</v>
      </c>
      <c r="B186" s="1" t="s">
        <v>386</v>
      </c>
      <c r="C186" s="1" t="s">
        <v>16</v>
      </c>
      <c r="D186" s="1" t="s">
        <v>17</v>
      </c>
      <c r="E186" s="1">
        <v>73</v>
      </c>
      <c r="F186" s="1">
        <v>67</v>
      </c>
      <c r="G186" s="1">
        <v>71</v>
      </c>
      <c r="H186" s="1">
        <v>2</v>
      </c>
      <c r="I186" s="1" t="s">
        <v>360</v>
      </c>
      <c r="J186" s="1" t="str">
        <f t="shared" si="5"/>
        <v>Good</v>
      </c>
    </row>
    <row r="187" spans="1:10" x14ac:dyDescent="0.45">
      <c r="A187" s="1" t="s">
        <v>387</v>
      </c>
      <c r="B187" s="1" t="s">
        <v>388</v>
      </c>
      <c r="C187" s="1" t="s">
        <v>20</v>
      </c>
      <c r="D187" s="1" t="s">
        <v>23</v>
      </c>
      <c r="E187" s="1">
        <v>96</v>
      </c>
      <c r="F187" s="1">
        <v>92</v>
      </c>
      <c r="G187" s="1">
        <v>95</v>
      </c>
      <c r="H187" s="1">
        <v>5</v>
      </c>
      <c r="I187" s="1" t="s">
        <v>360</v>
      </c>
      <c r="J187" s="1" t="str">
        <f t="shared" si="5"/>
        <v>Excellent</v>
      </c>
    </row>
    <row r="188" spans="1:10" ht="28.5" x14ac:dyDescent="0.45">
      <c r="A188" s="1" t="s">
        <v>389</v>
      </c>
      <c r="B188" s="1" t="s">
        <v>390</v>
      </c>
      <c r="C188" s="1" t="s">
        <v>11</v>
      </c>
      <c r="D188" s="1" t="s">
        <v>26</v>
      </c>
      <c r="E188" s="1">
        <v>79</v>
      </c>
      <c r="F188" s="1">
        <v>73</v>
      </c>
      <c r="G188" s="1">
        <v>77</v>
      </c>
      <c r="H188" s="1">
        <v>3</v>
      </c>
      <c r="I188" s="1" t="s">
        <v>360</v>
      </c>
      <c r="J188" s="1" t="str">
        <f t="shared" si="5"/>
        <v>Good</v>
      </c>
    </row>
    <row r="189" spans="1:10" x14ac:dyDescent="0.45">
      <c r="A189" s="1" t="s">
        <v>391</v>
      </c>
      <c r="B189" s="1" t="s">
        <v>392</v>
      </c>
      <c r="C189" s="1" t="s">
        <v>16</v>
      </c>
      <c r="D189" s="1" t="s">
        <v>12</v>
      </c>
      <c r="E189" s="1">
        <v>88</v>
      </c>
      <c r="F189" s="1">
        <v>84</v>
      </c>
      <c r="G189" s="1">
        <v>87</v>
      </c>
      <c r="H189" s="1">
        <v>4</v>
      </c>
      <c r="I189" s="1" t="s">
        <v>360</v>
      </c>
      <c r="J189" s="1" t="str">
        <f t="shared" si="5"/>
        <v>Excellent</v>
      </c>
    </row>
    <row r="190" spans="1:10" x14ac:dyDescent="0.45">
      <c r="A190" s="1" t="s">
        <v>393</v>
      </c>
      <c r="B190" s="1" t="s">
        <v>261</v>
      </c>
      <c r="C190" s="1" t="s">
        <v>20</v>
      </c>
      <c r="D190" s="1" t="s">
        <v>17</v>
      </c>
      <c r="E190" s="1">
        <v>71</v>
      </c>
      <c r="F190" s="1">
        <v>65</v>
      </c>
      <c r="G190" s="1">
        <v>69</v>
      </c>
      <c r="H190" s="1">
        <v>2</v>
      </c>
      <c r="I190" s="1" t="s">
        <v>360</v>
      </c>
      <c r="J190" s="1" t="str">
        <f t="shared" si="5"/>
        <v>Needs Improvement</v>
      </c>
    </row>
    <row r="191" spans="1:10" x14ac:dyDescent="0.45">
      <c r="A191" s="1" t="s">
        <v>394</v>
      </c>
      <c r="B191" s="1" t="s">
        <v>395</v>
      </c>
      <c r="C191" s="1" t="s">
        <v>11</v>
      </c>
      <c r="D191" s="1" t="s">
        <v>23</v>
      </c>
      <c r="E191" s="1">
        <v>98</v>
      </c>
      <c r="F191" s="1">
        <v>94</v>
      </c>
      <c r="G191" s="1">
        <v>97</v>
      </c>
      <c r="H191" s="1">
        <v>5</v>
      </c>
      <c r="I191" s="1" t="s">
        <v>360</v>
      </c>
      <c r="J191" s="1" t="str">
        <f t="shared" si="5"/>
        <v>Excellent</v>
      </c>
    </row>
    <row r="192" spans="1:10" x14ac:dyDescent="0.45">
      <c r="A192" s="1" t="s">
        <v>396</v>
      </c>
      <c r="B192" s="1" t="s">
        <v>397</v>
      </c>
      <c r="C192" s="1" t="s">
        <v>16</v>
      </c>
      <c r="D192" s="1" t="s">
        <v>26</v>
      </c>
      <c r="E192" s="1">
        <v>83</v>
      </c>
      <c r="F192" s="1">
        <v>77</v>
      </c>
      <c r="G192" s="1">
        <v>81</v>
      </c>
      <c r="H192" s="1">
        <v>3</v>
      </c>
      <c r="I192" s="1" t="s">
        <v>398</v>
      </c>
      <c r="J192" s="1" t="str">
        <f t="shared" si="5"/>
        <v>Good</v>
      </c>
    </row>
    <row r="193" spans="1:10" x14ac:dyDescent="0.45">
      <c r="A193" s="1" t="s">
        <v>399</v>
      </c>
      <c r="B193" s="1" t="s">
        <v>74</v>
      </c>
      <c r="C193" s="1" t="s">
        <v>20</v>
      </c>
      <c r="D193" s="1" t="s">
        <v>12</v>
      </c>
      <c r="E193" s="1">
        <v>90</v>
      </c>
      <c r="F193" s="1">
        <v>86</v>
      </c>
      <c r="G193" s="1">
        <v>89</v>
      </c>
      <c r="H193" s="1">
        <v>4</v>
      </c>
      <c r="I193" s="1" t="s">
        <v>398</v>
      </c>
      <c r="J193" s="1" t="str">
        <f t="shared" si="5"/>
        <v>Excellent</v>
      </c>
    </row>
    <row r="194" spans="1:10" x14ac:dyDescent="0.45">
      <c r="A194" s="1" t="s">
        <v>400</v>
      </c>
      <c r="B194" s="1" t="s">
        <v>187</v>
      </c>
      <c r="C194" s="1" t="s">
        <v>11</v>
      </c>
      <c r="D194" s="1" t="s">
        <v>17</v>
      </c>
      <c r="E194" s="1">
        <v>74</v>
      </c>
      <c r="F194" s="1">
        <v>68</v>
      </c>
      <c r="G194" s="1">
        <v>72</v>
      </c>
      <c r="H194" s="1">
        <v>2</v>
      </c>
      <c r="I194" s="1" t="s">
        <v>398</v>
      </c>
      <c r="J194" s="1" t="str">
        <f t="shared" ref="J194:J201" si="6">IF(G194&gt;=85,"Excellent",IF(G194&gt;=70,"Good","Needs Improvement"))</f>
        <v>Good</v>
      </c>
    </row>
    <row r="195" spans="1:10" x14ac:dyDescent="0.45">
      <c r="A195" s="1" t="s">
        <v>401</v>
      </c>
      <c r="B195" s="1" t="s">
        <v>402</v>
      </c>
      <c r="C195" s="1" t="s">
        <v>16</v>
      </c>
      <c r="D195" s="1" t="s">
        <v>23</v>
      </c>
      <c r="E195" s="1">
        <v>93</v>
      </c>
      <c r="F195" s="1">
        <v>89</v>
      </c>
      <c r="G195" s="1">
        <v>92</v>
      </c>
      <c r="H195" s="1">
        <v>5</v>
      </c>
      <c r="I195" s="1" t="s">
        <v>398</v>
      </c>
      <c r="J195" s="1" t="str">
        <f t="shared" si="6"/>
        <v>Excellent</v>
      </c>
    </row>
    <row r="196" spans="1:10" x14ac:dyDescent="0.45">
      <c r="A196" s="1" t="s">
        <v>403</v>
      </c>
      <c r="B196" s="1" t="s">
        <v>404</v>
      </c>
      <c r="C196" s="1" t="s">
        <v>20</v>
      </c>
      <c r="D196" s="1" t="s">
        <v>26</v>
      </c>
      <c r="E196" s="1">
        <v>81</v>
      </c>
      <c r="F196" s="1">
        <v>75</v>
      </c>
      <c r="G196" s="1">
        <v>79</v>
      </c>
      <c r="H196" s="1">
        <v>3</v>
      </c>
      <c r="I196" s="1" t="s">
        <v>398</v>
      </c>
      <c r="J196" s="1" t="str">
        <f t="shared" si="6"/>
        <v>Good</v>
      </c>
    </row>
    <row r="197" spans="1:10" x14ac:dyDescent="0.45">
      <c r="A197" s="1" t="s">
        <v>405</v>
      </c>
      <c r="B197" s="1" t="s">
        <v>406</v>
      </c>
      <c r="C197" s="1" t="s">
        <v>11</v>
      </c>
      <c r="D197" s="1" t="s">
        <v>12</v>
      </c>
      <c r="E197" s="1">
        <v>87</v>
      </c>
      <c r="F197" s="1">
        <v>82</v>
      </c>
      <c r="G197" s="1">
        <v>85</v>
      </c>
      <c r="H197" s="1">
        <v>4</v>
      </c>
      <c r="I197" s="1" t="s">
        <v>398</v>
      </c>
      <c r="J197" s="1" t="str">
        <f t="shared" si="6"/>
        <v>Excellent</v>
      </c>
    </row>
    <row r="198" spans="1:10" x14ac:dyDescent="0.45">
      <c r="A198" s="1" t="s">
        <v>407</v>
      </c>
      <c r="B198" s="1" t="s">
        <v>408</v>
      </c>
      <c r="C198" s="1" t="s">
        <v>16</v>
      </c>
      <c r="D198" s="1" t="s">
        <v>17</v>
      </c>
      <c r="E198" s="1">
        <v>76</v>
      </c>
      <c r="F198" s="1">
        <v>70</v>
      </c>
      <c r="G198" s="1">
        <v>74</v>
      </c>
      <c r="H198" s="1">
        <v>3</v>
      </c>
      <c r="I198" s="1" t="s">
        <v>398</v>
      </c>
      <c r="J198" s="1" t="str">
        <f t="shared" si="6"/>
        <v>Good</v>
      </c>
    </row>
    <row r="199" spans="1:10" x14ac:dyDescent="0.45">
      <c r="A199" s="1" t="s">
        <v>409</v>
      </c>
      <c r="B199" s="1" t="s">
        <v>410</v>
      </c>
      <c r="C199" s="1" t="s">
        <v>20</v>
      </c>
      <c r="D199" s="1" t="s">
        <v>23</v>
      </c>
      <c r="E199" s="1">
        <v>95</v>
      </c>
      <c r="F199" s="1">
        <v>91</v>
      </c>
      <c r="G199" s="1">
        <v>94</v>
      </c>
      <c r="H199" s="1">
        <v>5</v>
      </c>
      <c r="I199" s="1" t="s">
        <v>398</v>
      </c>
      <c r="J199" s="1" t="str">
        <f t="shared" si="6"/>
        <v>Excellent</v>
      </c>
    </row>
    <row r="200" spans="1:10" x14ac:dyDescent="0.45">
      <c r="A200" s="1" t="s">
        <v>411</v>
      </c>
      <c r="B200" s="1" t="s">
        <v>412</v>
      </c>
      <c r="C200" s="1" t="s">
        <v>11</v>
      </c>
      <c r="D200" s="1" t="s">
        <v>26</v>
      </c>
      <c r="E200" s="1">
        <v>78</v>
      </c>
      <c r="F200" s="1">
        <v>72</v>
      </c>
      <c r="G200" s="1">
        <v>76</v>
      </c>
      <c r="H200" s="1">
        <v>3</v>
      </c>
      <c r="I200" s="1" t="s">
        <v>398</v>
      </c>
      <c r="J200" s="1" t="str">
        <f t="shared" si="6"/>
        <v>Good</v>
      </c>
    </row>
    <row r="201" spans="1:10" x14ac:dyDescent="0.45">
      <c r="A201" s="1" t="s">
        <v>413</v>
      </c>
      <c r="B201" s="1" t="s">
        <v>414</v>
      </c>
      <c r="C201" s="1" t="s">
        <v>16</v>
      </c>
      <c r="D201" s="1" t="s">
        <v>12</v>
      </c>
      <c r="E201" s="1">
        <v>89</v>
      </c>
      <c r="F201" s="1">
        <v>85</v>
      </c>
      <c r="G201" s="1">
        <v>88</v>
      </c>
      <c r="H201" s="1">
        <v>4</v>
      </c>
      <c r="I201" s="1" t="s">
        <v>398</v>
      </c>
      <c r="J201" s="1" t="str">
        <f t="shared" si="6"/>
        <v>Excellent</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Dashboard</vt:lpstr>
      <vt:lpstr>StudentData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radhika.r.gupta01@gmail.com</dc:creator>
  <cp:lastModifiedBy>radhika.r.gupta01@gmail.com</cp:lastModifiedBy>
  <dcterms:created xsi:type="dcterms:W3CDTF">2026-05-15T07:12:44Z</dcterms:created>
  <dcterms:modified xsi:type="dcterms:W3CDTF">2026-05-15T18:15:05Z</dcterms:modified>
</cp:coreProperties>
</file>